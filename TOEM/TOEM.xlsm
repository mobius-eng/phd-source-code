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7cd11ed475514b/Documents/PhD/Model/TOEM/"/>
    </mc:Choice>
  </mc:AlternateContent>
  <xr:revisionPtr revIDLastSave="2364" documentId="8_{7147B61C-EBF0-4134-B5E9-35E53ECF78F0}" xr6:coauthVersionLast="28" xr6:coauthVersionMax="28" xr10:uidLastSave="{A2241B3A-0F86-4E73-A390-C0EF59C5E11A}"/>
  <bookViews>
    <workbookView xWindow="0" yWindow="0" windowWidth="20490" windowHeight="8115" xr2:uid="{99579DDC-BDC0-4953-87EA-51B3E69175FA}"/>
  </bookViews>
  <sheets>
    <sheet name="Input" sheetId="1" r:id="rId1"/>
    <sheet name="Result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5" i="2"/>
  <c r="B23" i="1"/>
  <c r="D23" i="1"/>
  <c r="D21" i="1"/>
  <c r="D20" i="1"/>
  <c r="D18" i="1"/>
  <c r="D17" i="1"/>
  <c r="D15" i="1"/>
  <c r="D14" i="1"/>
  <c r="D5" i="1"/>
  <c r="D6" i="1"/>
  <c r="D7" i="1"/>
  <c r="D8" i="1"/>
  <c r="D10" i="1"/>
  <c r="D11" i="1"/>
  <c r="D12" i="1"/>
  <c r="D13" i="1"/>
  <c r="D16" i="1"/>
  <c r="D19" i="1"/>
  <c r="D22" i="1"/>
  <c r="E5" i="1"/>
  <c r="E6" i="1"/>
  <c r="E7" i="1"/>
  <c r="E8" i="1"/>
  <c r="E9" i="1"/>
  <c r="E10" i="1"/>
  <c r="E11" i="1"/>
  <c r="E13" i="1"/>
  <c r="E16" i="1"/>
  <c r="E19" i="1"/>
  <c r="E22" i="1"/>
  <c r="E24" i="1"/>
  <c r="B24" i="1"/>
  <c r="D24" i="1" s="1"/>
  <c r="B19" i="1"/>
  <c r="B17" i="1"/>
  <c r="B9" i="1"/>
  <c r="D9" i="1" s="1"/>
</calcChain>
</file>

<file path=xl/sharedStrings.xml><?xml version="1.0" encoding="utf-8"?>
<sst xmlns="http://schemas.openxmlformats.org/spreadsheetml/2006/main" count="61" uniqueCount="36">
  <si>
    <t>Ks</t>
  </si>
  <si>
    <t>l</t>
  </si>
  <si>
    <t>a</t>
  </si>
  <si>
    <t>n</t>
  </si>
  <si>
    <t>m</t>
  </si>
  <si>
    <t>Δθ</t>
  </si>
  <si>
    <t>height</t>
  </si>
  <si>
    <t>qin</t>
  </si>
  <si>
    <t>s0</t>
  </si>
  <si>
    <t>N1</t>
  </si>
  <si>
    <t>t1 start</t>
  </si>
  <si>
    <t>t1 end</t>
  </si>
  <si>
    <t>t2 start</t>
  </si>
  <si>
    <t>t2 end</t>
  </si>
  <si>
    <t>N2</t>
  </si>
  <si>
    <t>t3 start</t>
  </si>
  <si>
    <t>t3 end</t>
  </si>
  <si>
    <t>N3</t>
  </si>
  <si>
    <t>Parameter</t>
  </si>
  <si>
    <t>Value</t>
  </si>
  <si>
    <t>Unit</t>
  </si>
  <si>
    <t>SI Value</t>
  </si>
  <si>
    <t>SI Unit</t>
  </si>
  <si>
    <t>m/s</t>
  </si>
  <si>
    <t>-</t>
  </si>
  <si>
    <t>1/m</t>
  </si>
  <si>
    <t>L/m2 h</t>
  </si>
  <si>
    <t>h</t>
  </si>
  <si>
    <t>t final</t>
  </si>
  <si>
    <t>N total</t>
  </si>
  <si>
    <t>s</t>
  </si>
  <si>
    <t>TOEM</t>
  </si>
  <si>
    <t>Transient One-Element Model</t>
  </si>
  <si>
    <t>Saturation</t>
  </si>
  <si>
    <t>Time</t>
  </si>
  <si>
    <t>Time,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</si>
</sst>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8"/>
      <color theme="0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3" fillId="0" borderId="0" xfId="0" applyFont="1"/>
    <xf numFmtId="0" fontId="0" fillId="2" borderId="0" xfId="0" applyFill="1"/>
    <xf numFmtId="0" fontId="4" fillId="2" borderId="0" xfId="1" applyFont="1" applyFill="1"/>
    <xf numFmtId="0" fontId="2" fillId="2" borderId="0" xfId="0" applyFont="1" applyFill="1" applyAlignment="1">
      <alignment horizontal="left"/>
    </xf>
  </cellXfs>
  <cellStyles count="2">
    <cellStyle name="Normal" xfId="0" builtinId="0"/>
    <cellStyle name="Title" xfId="1" builtinId="15"/>
  </cellStyles>
  <dxfs count="3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Results!$D$4</c:f>
              <c:strCache>
                <c:ptCount val="1"/>
                <c:pt idx="0">
                  <c:v>Saturation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Results!$C$5:$C$128</c:f>
              <c:numCache>
                <c:formatCode>General</c:formatCode>
                <c:ptCount val="124"/>
                <c:pt idx="0">
                  <c:v>0</c:v>
                </c:pt>
                <c:pt idx="1">
                  <c:v>1.6666666666666666E-2</c:v>
                </c:pt>
                <c:pt idx="2">
                  <c:v>3.3333333333333333E-2</c:v>
                </c:pt>
                <c:pt idx="3">
                  <c:v>0.05</c:v>
                </c:pt>
                <c:pt idx="4">
                  <c:v>6.6666666666666666E-2</c:v>
                </c:pt>
                <c:pt idx="5">
                  <c:v>8.3333333333333329E-2</c:v>
                </c:pt>
                <c:pt idx="6">
                  <c:v>0.1</c:v>
                </c:pt>
                <c:pt idx="7">
                  <c:v>0.11666666666666667</c:v>
                </c:pt>
                <c:pt idx="8">
                  <c:v>0.13333333333333333</c:v>
                </c:pt>
                <c:pt idx="9">
                  <c:v>0.15</c:v>
                </c:pt>
                <c:pt idx="10">
                  <c:v>0.16666666666666666</c:v>
                </c:pt>
                <c:pt idx="11">
                  <c:v>0.18333333333333332</c:v>
                </c:pt>
                <c:pt idx="12">
                  <c:v>0.2</c:v>
                </c:pt>
                <c:pt idx="13">
                  <c:v>0.21666666666666667</c:v>
                </c:pt>
                <c:pt idx="14">
                  <c:v>0.23333333333333334</c:v>
                </c:pt>
                <c:pt idx="15">
                  <c:v>0.25</c:v>
                </c:pt>
                <c:pt idx="16">
                  <c:v>0.26666666666666666</c:v>
                </c:pt>
                <c:pt idx="17">
                  <c:v>0.28333333333333333</c:v>
                </c:pt>
                <c:pt idx="18">
                  <c:v>0.3</c:v>
                </c:pt>
                <c:pt idx="19">
                  <c:v>0.31666666666666665</c:v>
                </c:pt>
                <c:pt idx="20">
                  <c:v>0.33333333333333331</c:v>
                </c:pt>
                <c:pt idx="21">
                  <c:v>0.35</c:v>
                </c:pt>
                <c:pt idx="22">
                  <c:v>0.36666666666666664</c:v>
                </c:pt>
                <c:pt idx="23">
                  <c:v>0.38333333333333336</c:v>
                </c:pt>
                <c:pt idx="24">
                  <c:v>0.4</c:v>
                </c:pt>
                <c:pt idx="25">
                  <c:v>0.41666666666666669</c:v>
                </c:pt>
                <c:pt idx="26">
                  <c:v>0.43333333333333335</c:v>
                </c:pt>
                <c:pt idx="27">
                  <c:v>0.45</c:v>
                </c:pt>
                <c:pt idx="28">
                  <c:v>0.46666666666666667</c:v>
                </c:pt>
                <c:pt idx="29">
                  <c:v>0.48333333333333334</c:v>
                </c:pt>
                <c:pt idx="30">
                  <c:v>0.5</c:v>
                </c:pt>
                <c:pt idx="31">
                  <c:v>0.51666666666666672</c:v>
                </c:pt>
                <c:pt idx="32">
                  <c:v>0.53333333333333333</c:v>
                </c:pt>
                <c:pt idx="33">
                  <c:v>0.55000000000000004</c:v>
                </c:pt>
                <c:pt idx="34">
                  <c:v>0.56666666666666665</c:v>
                </c:pt>
                <c:pt idx="35">
                  <c:v>0.58333333333333337</c:v>
                </c:pt>
                <c:pt idx="36">
                  <c:v>0.6</c:v>
                </c:pt>
                <c:pt idx="37">
                  <c:v>0.6166666666666667</c:v>
                </c:pt>
                <c:pt idx="38">
                  <c:v>0.6333333333333333</c:v>
                </c:pt>
                <c:pt idx="39">
                  <c:v>0.65</c:v>
                </c:pt>
                <c:pt idx="40">
                  <c:v>0.66666666666666663</c:v>
                </c:pt>
                <c:pt idx="41">
                  <c:v>0.68333333333333335</c:v>
                </c:pt>
                <c:pt idx="42">
                  <c:v>0.7</c:v>
                </c:pt>
                <c:pt idx="43">
                  <c:v>0.71666666666666667</c:v>
                </c:pt>
                <c:pt idx="44">
                  <c:v>0.73333333333333328</c:v>
                </c:pt>
                <c:pt idx="45">
                  <c:v>0.75</c:v>
                </c:pt>
                <c:pt idx="46">
                  <c:v>0.76666666666666672</c:v>
                </c:pt>
                <c:pt idx="47">
                  <c:v>0.78333333333333333</c:v>
                </c:pt>
                <c:pt idx="48">
                  <c:v>0.8</c:v>
                </c:pt>
                <c:pt idx="49">
                  <c:v>0.81666666666666665</c:v>
                </c:pt>
                <c:pt idx="50">
                  <c:v>0.83333333333333337</c:v>
                </c:pt>
                <c:pt idx="51">
                  <c:v>0.85</c:v>
                </c:pt>
                <c:pt idx="52">
                  <c:v>0.8666666666666667</c:v>
                </c:pt>
                <c:pt idx="53">
                  <c:v>0.8833333333333333</c:v>
                </c:pt>
                <c:pt idx="54">
                  <c:v>0.9</c:v>
                </c:pt>
                <c:pt idx="55">
                  <c:v>0.91666666666666663</c:v>
                </c:pt>
                <c:pt idx="56">
                  <c:v>0.93333333333333335</c:v>
                </c:pt>
                <c:pt idx="57">
                  <c:v>0.95</c:v>
                </c:pt>
                <c:pt idx="58">
                  <c:v>0.96666666666666667</c:v>
                </c:pt>
                <c:pt idx="59">
                  <c:v>0.98333333333333328</c:v>
                </c:pt>
                <c:pt idx="60">
                  <c:v>1</c:v>
                </c:pt>
                <c:pt idx="61">
                  <c:v>1.1666666666666667</c:v>
                </c:pt>
                <c:pt idx="62">
                  <c:v>1.3333333333333333</c:v>
                </c:pt>
                <c:pt idx="63">
                  <c:v>1.5</c:v>
                </c:pt>
                <c:pt idx="64">
                  <c:v>1.6666666666666667</c:v>
                </c:pt>
                <c:pt idx="65">
                  <c:v>1.8333333333333333</c:v>
                </c:pt>
                <c:pt idx="66">
                  <c:v>2</c:v>
                </c:pt>
                <c:pt idx="67">
                  <c:v>2.1666666666666665</c:v>
                </c:pt>
                <c:pt idx="68">
                  <c:v>2.3333333333333335</c:v>
                </c:pt>
                <c:pt idx="69">
                  <c:v>2.5</c:v>
                </c:pt>
                <c:pt idx="70">
                  <c:v>2.6666666666666665</c:v>
                </c:pt>
                <c:pt idx="71">
                  <c:v>2.8333333333333335</c:v>
                </c:pt>
                <c:pt idx="72">
                  <c:v>3</c:v>
                </c:pt>
                <c:pt idx="73">
                  <c:v>3.1666666666666665</c:v>
                </c:pt>
                <c:pt idx="74">
                  <c:v>3.3333333333333335</c:v>
                </c:pt>
                <c:pt idx="75">
                  <c:v>3.5</c:v>
                </c:pt>
                <c:pt idx="76">
                  <c:v>3.6666666666666665</c:v>
                </c:pt>
                <c:pt idx="77">
                  <c:v>3.8333333333333335</c:v>
                </c:pt>
                <c:pt idx="78">
                  <c:v>4</c:v>
                </c:pt>
                <c:pt idx="79">
                  <c:v>4.166666666666667</c:v>
                </c:pt>
                <c:pt idx="80">
                  <c:v>4.333333333333333</c:v>
                </c:pt>
                <c:pt idx="81">
                  <c:v>4.5</c:v>
                </c:pt>
                <c:pt idx="82">
                  <c:v>4.666666666666667</c:v>
                </c:pt>
                <c:pt idx="83">
                  <c:v>4.833333333333333</c:v>
                </c:pt>
                <c:pt idx="84">
                  <c:v>5</c:v>
                </c:pt>
                <c:pt idx="85">
                  <c:v>6</c:v>
                </c:pt>
                <c:pt idx="86">
                  <c:v>6.5</c:v>
                </c:pt>
                <c:pt idx="87">
                  <c:v>7</c:v>
                </c:pt>
                <c:pt idx="88">
                  <c:v>7.5</c:v>
                </c:pt>
                <c:pt idx="89">
                  <c:v>8</c:v>
                </c:pt>
                <c:pt idx="90">
                  <c:v>8.5</c:v>
                </c:pt>
                <c:pt idx="91">
                  <c:v>9</c:v>
                </c:pt>
                <c:pt idx="92">
                  <c:v>9.5</c:v>
                </c:pt>
                <c:pt idx="93">
                  <c:v>10</c:v>
                </c:pt>
                <c:pt idx="94">
                  <c:v>10.5</c:v>
                </c:pt>
                <c:pt idx="95">
                  <c:v>11</c:v>
                </c:pt>
                <c:pt idx="96">
                  <c:v>11.5</c:v>
                </c:pt>
                <c:pt idx="97">
                  <c:v>12</c:v>
                </c:pt>
                <c:pt idx="98">
                  <c:v>12.5</c:v>
                </c:pt>
                <c:pt idx="99">
                  <c:v>13</c:v>
                </c:pt>
                <c:pt idx="100">
                  <c:v>13.5</c:v>
                </c:pt>
                <c:pt idx="101">
                  <c:v>14</c:v>
                </c:pt>
                <c:pt idx="102">
                  <c:v>14.5</c:v>
                </c:pt>
                <c:pt idx="103">
                  <c:v>15</c:v>
                </c:pt>
                <c:pt idx="104">
                  <c:v>15.5</c:v>
                </c:pt>
                <c:pt idx="105">
                  <c:v>16</c:v>
                </c:pt>
                <c:pt idx="106">
                  <c:v>16.5</c:v>
                </c:pt>
                <c:pt idx="107">
                  <c:v>17</c:v>
                </c:pt>
                <c:pt idx="108">
                  <c:v>17.5</c:v>
                </c:pt>
                <c:pt idx="109">
                  <c:v>18</c:v>
                </c:pt>
                <c:pt idx="110">
                  <c:v>18.5</c:v>
                </c:pt>
                <c:pt idx="111">
                  <c:v>19</c:v>
                </c:pt>
                <c:pt idx="112">
                  <c:v>19.5</c:v>
                </c:pt>
                <c:pt idx="113">
                  <c:v>20</c:v>
                </c:pt>
                <c:pt idx="114">
                  <c:v>20.5</c:v>
                </c:pt>
                <c:pt idx="115">
                  <c:v>21</c:v>
                </c:pt>
                <c:pt idx="116">
                  <c:v>21.5</c:v>
                </c:pt>
                <c:pt idx="117">
                  <c:v>22</c:v>
                </c:pt>
                <c:pt idx="118">
                  <c:v>22.5</c:v>
                </c:pt>
                <c:pt idx="119">
                  <c:v>23</c:v>
                </c:pt>
                <c:pt idx="120">
                  <c:v>23.5</c:v>
                </c:pt>
                <c:pt idx="121">
                  <c:v>24</c:v>
                </c:pt>
                <c:pt idx="122">
                  <c:v>24.5</c:v>
                </c:pt>
                <c:pt idx="123">
                  <c:v>25</c:v>
                </c:pt>
              </c:numCache>
            </c:numRef>
          </c:xVal>
          <c:yVal>
            <c:numRef>
              <c:f>Results!$D$5:$D$128</c:f>
              <c:numCache>
                <c:formatCode>General</c:formatCode>
                <c:ptCount val="124"/>
                <c:pt idx="0">
                  <c:v>0.56000000000000005</c:v>
                </c:pt>
                <c:pt idx="1">
                  <c:v>0.55913202519941041</c:v>
                </c:pt>
                <c:pt idx="2">
                  <c:v>0.5582732686501739</c:v>
                </c:pt>
                <c:pt idx="3">
                  <c:v>0.5574235228087876</c:v>
                </c:pt>
                <c:pt idx="4">
                  <c:v>0.5565826331296797</c:v>
                </c:pt>
                <c:pt idx="5">
                  <c:v>0.55575043394957746</c:v>
                </c:pt>
                <c:pt idx="6">
                  <c:v>0.55492680869028022</c:v>
                </c:pt>
                <c:pt idx="7">
                  <c:v>0.55411154729242851</c:v>
                </c:pt>
                <c:pt idx="8">
                  <c:v>0.55330444706307813</c:v>
                </c:pt>
                <c:pt idx="9">
                  <c:v>0.5525053358207519</c:v>
                </c:pt>
                <c:pt idx="10">
                  <c:v>0.55171411314784202</c:v>
                </c:pt>
                <c:pt idx="11">
                  <c:v>0.55093063168855672</c:v>
                </c:pt>
                <c:pt idx="12">
                  <c:v>0.55015474113603158</c:v>
                </c:pt>
                <c:pt idx="13">
                  <c:v>0.54938630845457814</c:v>
                </c:pt>
                <c:pt idx="14">
                  <c:v>0.54862520758384026</c:v>
                </c:pt>
                <c:pt idx="15">
                  <c:v>0.54787130254477445</c:v>
                </c:pt>
                <c:pt idx="16">
                  <c:v>0.54712447663577535</c:v>
                </c:pt>
                <c:pt idx="17">
                  <c:v>0.54638456693234427</c:v>
                </c:pt>
                <c:pt idx="18">
                  <c:v>0.54565149515933498</c:v>
                </c:pt>
                <c:pt idx="19">
                  <c:v>0.54492513166906509</c:v>
                </c:pt>
                <c:pt idx="20">
                  <c:v>0.54420535377738044</c:v>
                </c:pt>
                <c:pt idx="21">
                  <c:v>0.54349205412915291</c:v>
                </c:pt>
                <c:pt idx="22">
                  <c:v>0.54278512271376544</c:v>
                </c:pt>
                <c:pt idx="23">
                  <c:v>0.54208445330860022</c:v>
                </c:pt>
                <c:pt idx="24">
                  <c:v>0.54138994428603116</c:v>
                </c:pt>
                <c:pt idx="25">
                  <c:v>0.54070149861342387</c:v>
                </c:pt>
                <c:pt idx="26">
                  <c:v>0.54001902097724963</c:v>
                </c:pt>
                <c:pt idx="27">
                  <c:v>0.53934240546547019</c:v>
                </c:pt>
                <c:pt idx="28">
                  <c:v>0.53867155706784087</c:v>
                </c:pt>
                <c:pt idx="29">
                  <c:v>0.5380063856238062</c:v>
                </c:pt>
                <c:pt idx="30">
                  <c:v>0.53734680415739</c:v>
                </c:pt>
                <c:pt idx="31">
                  <c:v>0.53669272887719377</c:v>
                </c:pt>
                <c:pt idx="32">
                  <c:v>0.53604407781251684</c:v>
                </c:pt>
                <c:pt idx="33">
                  <c:v>0.53540076042589213</c:v>
                </c:pt>
                <c:pt idx="34">
                  <c:v>0.53476269298731871</c:v>
                </c:pt>
                <c:pt idx="35">
                  <c:v>0.53412979580931441</c:v>
                </c:pt>
                <c:pt idx="36">
                  <c:v>0.53350199131608345</c:v>
                </c:pt>
                <c:pt idx="37">
                  <c:v>0.53287920404351607</c:v>
                </c:pt>
                <c:pt idx="38">
                  <c:v>0.53226136039561245</c:v>
                </c:pt>
                <c:pt idx="39">
                  <c:v>0.53164838513992407</c:v>
                </c:pt>
                <c:pt idx="40">
                  <c:v>0.53104020581624722</c:v>
                </c:pt>
                <c:pt idx="41">
                  <c:v>0.53043675261522083</c:v>
                </c:pt>
                <c:pt idx="42">
                  <c:v>0.52983795748737039</c:v>
                </c:pt>
                <c:pt idx="43">
                  <c:v>0.52924375414310798</c:v>
                </c:pt>
                <c:pt idx="44">
                  <c:v>0.52865408077512788</c:v>
                </c:pt>
                <c:pt idx="45">
                  <c:v>0.52806886436062017</c:v>
                </c:pt>
                <c:pt idx="46">
                  <c:v>0.52748804639760294</c:v>
                </c:pt>
                <c:pt idx="47">
                  <c:v>0.52691156491678004</c:v>
                </c:pt>
                <c:pt idx="48">
                  <c:v>0.52633935960428035</c:v>
                </c:pt>
                <c:pt idx="49">
                  <c:v>0.52577137175446254</c:v>
                </c:pt>
                <c:pt idx="50">
                  <c:v>0.52520754420623272</c:v>
                </c:pt>
                <c:pt idx="51">
                  <c:v>0.52464781918860526</c:v>
                </c:pt>
                <c:pt idx="52">
                  <c:v>0.52409214004604354</c:v>
                </c:pt>
                <c:pt idx="53">
                  <c:v>0.52354045242565816</c:v>
                </c:pt>
                <c:pt idx="54">
                  <c:v>0.52299270309577028</c:v>
                </c:pt>
                <c:pt idx="55">
                  <c:v>0.52244883988304658</c:v>
                </c:pt>
                <c:pt idx="56">
                  <c:v>0.52190881160963354</c:v>
                </c:pt>
                <c:pt idx="57">
                  <c:v>0.52137256803029264</c:v>
                </c:pt>
                <c:pt idx="58">
                  <c:v>0.52084005976953474</c:v>
                </c:pt>
                <c:pt idx="59">
                  <c:v>0.52031123825875503</c:v>
                </c:pt>
                <c:pt idx="60">
                  <c:v>0.51978605624342433</c:v>
                </c:pt>
                <c:pt idx="61">
                  <c:v>0.51472454892514929</c:v>
                </c:pt>
                <c:pt idx="62">
                  <c:v>0.50998055313193857</c:v>
                </c:pt>
                <c:pt idx="63">
                  <c:v>0.50551869198987964</c:v>
                </c:pt>
                <c:pt idx="64">
                  <c:v>0.50130907231217436</c:v>
                </c:pt>
                <c:pt idx="65">
                  <c:v>0.49732623908401918</c:v>
                </c:pt>
                <c:pt idx="66">
                  <c:v>0.49354835608920711</c:v>
                </c:pt>
                <c:pt idx="67">
                  <c:v>0.48995649979938227</c:v>
                </c:pt>
                <c:pt idx="68">
                  <c:v>0.48653423787108541</c:v>
                </c:pt>
                <c:pt idx="69">
                  <c:v>0.48326718746187103</c:v>
                </c:pt>
                <c:pt idx="70">
                  <c:v>0.48014268038638364</c:v>
                </c:pt>
                <c:pt idx="71">
                  <c:v>0.47714951120048332</c:v>
                </c:pt>
                <c:pt idx="72">
                  <c:v>0.47427772847097199</c:v>
                </c:pt>
                <c:pt idx="73">
                  <c:v>0.47151844605136306</c:v>
                </c:pt>
                <c:pt idx="74">
                  <c:v>0.46886370713462566</c:v>
                </c:pt>
                <c:pt idx="75">
                  <c:v>0.46630635403674958</c:v>
                </c:pt>
                <c:pt idx="76">
                  <c:v>0.46383989630581191</c:v>
                </c:pt>
                <c:pt idx="77">
                  <c:v>0.46145850217332529</c:v>
                </c:pt>
                <c:pt idx="78">
                  <c:v>0.45915684098875431</c:v>
                </c:pt>
                <c:pt idx="79">
                  <c:v>0.45693008227714438</c:v>
                </c:pt>
                <c:pt idx="80">
                  <c:v>0.45477379272301804</c:v>
                </c:pt>
                <c:pt idx="81">
                  <c:v>0.45268393044932609</c:v>
                </c:pt>
                <c:pt idx="82">
                  <c:v>0.45065677092799361</c:v>
                </c:pt>
                <c:pt idx="83">
                  <c:v>0.44868889939560935</c:v>
                </c:pt>
                <c:pt idx="84">
                  <c:v>0.44677715781208938</c:v>
                </c:pt>
                <c:pt idx="85">
                  <c:v>0.43633642363861053</c:v>
                </c:pt>
                <c:pt idx="86">
                  <c:v>0.43167962428474066</c:v>
                </c:pt>
                <c:pt idx="87">
                  <c:v>0.42733555117223143</c:v>
                </c:pt>
                <c:pt idx="88">
                  <c:v>0.42326722927922</c:v>
                </c:pt>
                <c:pt idx="89">
                  <c:v>0.4194437562845818</c:v>
                </c:pt>
                <c:pt idx="90">
                  <c:v>0.41583907465434922</c:v>
                </c:pt>
                <c:pt idx="91">
                  <c:v>0.41243094591532831</c:v>
                </c:pt>
                <c:pt idx="92">
                  <c:v>0.40920033107519727</c:v>
                </c:pt>
                <c:pt idx="93">
                  <c:v>0.40613076859009373</c:v>
                </c:pt>
                <c:pt idx="94">
                  <c:v>0.40320793635854357</c:v>
                </c:pt>
                <c:pt idx="95">
                  <c:v>0.40041930473754289</c:v>
                </c:pt>
                <c:pt idx="96">
                  <c:v>0.39775385449730094</c:v>
                </c:pt>
                <c:pt idx="97">
                  <c:v>0.39520184046831841</c:v>
                </c:pt>
                <c:pt idx="98">
                  <c:v>0.39275461852583216</c:v>
                </c:pt>
                <c:pt idx="99">
                  <c:v>0.39040444862004042</c:v>
                </c:pt>
                <c:pt idx="100">
                  <c:v>0.38814441483997381</c:v>
                </c:pt>
                <c:pt idx="101">
                  <c:v>0.38596829554229506</c:v>
                </c:pt>
                <c:pt idx="102">
                  <c:v>0.38387048818148561</c:v>
                </c:pt>
                <c:pt idx="103">
                  <c:v>0.38184590665195067</c:v>
                </c:pt>
                <c:pt idx="104">
                  <c:v>0.37988994906933737</c:v>
                </c:pt>
                <c:pt idx="105">
                  <c:v>0.37799841043696591</c:v>
                </c:pt>
                <c:pt idx="106">
                  <c:v>0.37616746528123052</c:v>
                </c:pt>
                <c:pt idx="107">
                  <c:v>0.37439360055348858</c:v>
                </c:pt>
                <c:pt idx="108">
                  <c:v>0.3726736022631465</c:v>
                </c:pt>
                <c:pt idx="109">
                  <c:v>0.37100451293583453</c:v>
                </c:pt>
                <c:pt idx="110">
                  <c:v>0.36938361127554048</c:v>
                </c:pt>
                <c:pt idx="111">
                  <c:v>0.36780835759326641</c:v>
                </c:pt>
                <c:pt idx="112">
                  <c:v>0.36627643107280611</c:v>
                </c:pt>
                <c:pt idx="113">
                  <c:v>0.36478567391833178</c:v>
                </c:pt>
                <c:pt idx="114">
                  <c:v>0.36333406895769277</c:v>
                </c:pt>
                <c:pt idx="115">
                  <c:v>0.36191976098879702</c:v>
                </c:pt>
                <c:pt idx="116">
                  <c:v>0.36054100436573405</c:v>
                </c:pt>
                <c:pt idx="117">
                  <c:v>0.35919617520749503</c:v>
                </c:pt>
                <c:pt idx="118">
                  <c:v>0.35788376120195287</c:v>
                </c:pt>
                <c:pt idx="119">
                  <c:v>0.35660233628665955</c:v>
                </c:pt>
                <c:pt idx="120">
                  <c:v>0.35535057389727726</c:v>
                </c:pt>
                <c:pt idx="121">
                  <c:v>0.35412722462808782</c:v>
                </c:pt>
                <c:pt idx="122">
                  <c:v>0.35293111219495527</c:v>
                </c:pt>
                <c:pt idx="123">
                  <c:v>0.35176113646719198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EC-42E0-9490-7A97BA2AE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503423"/>
        <c:axId val="577554159"/>
      </c:scatterChart>
      <c:valAx>
        <c:axId val="808503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Time,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54159"/>
        <c:crosses val="autoZero"/>
        <c:crossBetween val="midCat"/>
      </c:valAx>
      <c:valAx>
        <c:axId val="57755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Saturation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503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</xdr:row>
          <xdr:rowOff>114300</xdr:rowOff>
        </xdr:from>
        <xdr:to>
          <xdr:col>1</xdr:col>
          <xdr:colOff>434250</xdr:colOff>
          <xdr:row>2</xdr:row>
          <xdr:rowOff>175800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8DF460D-AD65-404B-9749-62D5D7EE7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114300</xdr:rowOff>
        </xdr:from>
        <xdr:to>
          <xdr:col>4</xdr:col>
          <xdr:colOff>577125</xdr:colOff>
          <xdr:row>2</xdr:row>
          <xdr:rowOff>175800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198BFB7-00B0-49D0-A9BA-9E5E12D78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128587</xdr:colOff>
          <xdr:row>1</xdr:row>
          <xdr:rowOff>114300</xdr:rowOff>
        </xdr:from>
        <xdr:to>
          <xdr:col>3</xdr:col>
          <xdr:colOff>238987</xdr:colOff>
          <xdr:row>2</xdr:row>
          <xdr:rowOff>175800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920AC2C-07BF-40F6-8680-117D96188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542924</xdr:colOff>
          <xdr:row>1</xdr:row>
          <xdr:rowOff>114300</xdr:rowOff>
        </xdr:from>
        <xdr:to>
          <xdr:col>1</xdr:col>
          <xdr:colOff>510449</xdr:colOff>
          <xdr:row>2</xdr:row>
          <xdr:rowOff>175800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BCB795B2-BBDA-425B-AAE1-9F51E1EDC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114300</xdr:rowOff>
        </xdr:from>
        <xdr:to>
          <xdr:col>5</xdr:col>
          <xdr:colOff>43725</xdr:colOff>
          <xdr:row>2</xdr:row>
          <xdr:rowOff>175800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15204103-CD7C-41A4-B844-EF6AFC3D4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114300</xdr:rowOff>
        </xdr:from>
        <xdr:to>
          <xdr:col>3</xdr:col>
          <xdr:colOff>348525</xdr:colOff>
          <xdr:row>2</xdr:row>
          <xdr:rowOff>175800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300CF740-7285-471D-B173-50BA0B1AC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319087</xdr:colOff>
      <xdr:row>5</xdr:row>
      <xdr:rowOff>23812</xdr:rowOff>
    </xdr:from>
    <xdr:to>
      <xdr:col>13</xdr:col>
      <xdr:colOff>14287</xdr:colOff>
      <xdr:row>19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C0C7DB-B76C-411D-A851-C940828DB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FEBADA-4F9F-4B4D-9F21-E1694DCDC1E3}" name="Table1" displayName="Table1" ref="A4:E24" totalsRowShown="0">
  <autoFilter ref="A4:E24" xr:uid="{33D56FB7-2F90-429A-BAAA-50E0C13E88D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008E3C1-E4A2-4603-BE7D-9224B69F8A8D}" name="Parameter" dataDxfId="2"/>
    <tableColumn id="2" xr3:uid="{0D5687DB-3862-4F85-9896-3CA172D448DA}" name="Value"/>
    <tableColumn id="3" xr3:uid="{F1BB4494-1F20-40BC-AECB-4B1D047570C0}" name="Unit"/>
    <tableColumn id="4" xr3:uid="{CFDE75CD-919D-41B6-860A-54E6A12E5E53}" name="SI Value" dataDxfId="0">
      <calculatedColumnFormula>Table1[[#This Row],[Value]]</calculatedColumnFormula>
    </tableColumn>
    <tableColumn id="5" xr3:uid="{4AA79AAE-85AB-45F7-987E-A75BBD336B46}" name="SI Unit" dataDxfId="1">
      <calculatedColumnFormula>Table1[[#This Row],[Unit]]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B729E-6916-47E1-BC70-A88F2A3FF2C6}">
  <sheetPr codeName="InputSheet"/>
  <dimension ref="A1:E24"/>
  <sheetViews>
    <sheetView tabSelected="1" workbookViewId="0">
      <pane ySplit="3" topLeftCell="A4" activePane="bottomLeft" state="frozen"/>
      <selection pane="bottomLeft" activeCell="A5" sqref="A5"/>
    </sheetView>
  </sheetViews>
  <sheetFormatPr defaultRowHeight="15" x14ac:dyDescent="0.25"/>
  <cols>
    <col min="1" max="1" width="12.42578125" customWidth="1"/>
    <col min="4" max="4" width="10.28515625" customWidth="1"/>
  </cols>
  <sheetData>
    <row r="1" spans="1:5" s="2" customFormat="1" ht="23.25" x14ac:dyDescent="0.35">
      <c r="A1" s="3" t="s">
        <v>31</v>
      </c>
      <c r="B1" s="4" t="s">
        <v>32</v>
      </c>
      <c r="C1" s="4"/>
      <c r="D1" s="4"/>
    </row>
    <row r="2" spans="1:5" s="2" customFormat="1" x14ac:dyDescent="0.25"/>
    <row r="3" spans="1:5" s="2" customFormat="1" x14ac:dyDescent="0.25"/>
    <row r="4" spans="1:5" x14ac:dyDescent="0.25">
      <c r="A4" t="s">
        <v>18</v>
      </c>
      <c r="B4" t="s">
        <v>19</v>
      </c>
      <c r="C4" t="s">
        <v>20</v>
      </c>
      <c r="D4" t="s">
        <v>21</v>
      </c>
      <c r="E4" t="s">
        <v>22</v>
      </c>
    </row>
    <row r="5" spans="1:5" x14ac:dyDescent="0.25">
      <c r="A5" t="s">
        <v>0</v>
      </c>
      <c r="B5">
        <v>1E-3</v>
      </c>
      <c r="C5" t="s">
        <v>23</v>
      </c>
      <c r="D5">
        <f>Table1[[#This Row],[Value]]</f>
        <v>1E-3</v>
      </c>
      <c r="E5" t="str">
        <f>Table1[[#This Row],[Unit]]</f>
        <v>m/s</v>
      </c>
    </row>
    <row r="6" spans="1:5" x14ac:dyDescent="0.25">
      <c r="A6" t="s">
        <v>1</v>
      </c>
      <c r="B6">
        <v>0.5</v>
      </c>
      <c r="C6" t="s">
        <v>24</v>
      </c>
      <c r="D6">
        <f>Table1[[#This Row],[Value]]</f>
        <v>0.5</v>
      </c>
      <c r="E6" t="str">
        <f>Table1[[#This Row],[Unit]]</f>
        <v>-</v>
      </c>
    </row>
    <row r="7" spans="1:5" x14ac:dyDescent="0.25">
      <c r="A7" t="s">
        <v>2</v>
      </c>
      <c r="B7">
        <v>3</v>
      </c>
      <c r="C7" t="s">
        <v>25</v>
      </c>
      <c r="D7">
        <f>Table1[[#This Row],[Value]]</f>
        <v>3</v>
      </c>
      <c r="E7" t="str">
        <f>Table1[[#This Row],[Unit]]</f>
        <v>1/m</v>
      </c>
    </row>
    <row r="8" spans="1:5" x14ac:dyDescent="0.25">
      <c r="A8" t="s">
        <v>3</v>
      </c>
      <c r="B8">
        <v>1.5</v>
      </c>
      <c r="C8" t="s">
        <v>24</v>
      </c>
      <c r="D8">
        <f>Table1[[#This Row],[Value]]</f>
        <v>1.5</v>
      </c>
      <c r="E8" t="str">
        <f>Table1[[#This Row],[Unit]]</f>
        <v>-</v>
      </c>
    </row>
    <row r="9" spans="1:5" x14ac:dyDescent="0.25">
      <c r="A9" t="s">
        <v>4</v>
      </c>
      <c r="B9">
        <f>1-1/B8</f>
        <v>0.33333333333333337</v>
      </c>
      <c r="C9" t="s">
        <v>24</v>
      </c>
      <c r="D9">
        <f>Table1[[#This Row],[Value]]</f>
        <v>0.33333333333333337</v>
      </c>
      <c r="E9" t="str">
        <f>Table1[[#This Row],[Unit]]</f>
        <v>-</v>
      </c>
    </row>
    <row r="10" spans="1:5" x14ac:dyDescent="0.25">
      <c r="A10" s="1" t="s">
        <v>5</v>
      </c>
      <c r="B10">
        <v>0.2</v>
      </c>
      <c r="C10" t="s">
        <v>24</v>
      </c>
      <c r="D10">
        <f>Table1[[#This Row],[Value]]</f>
        <v>0.2</v>
      </c>
      <c r="E10" t="str">
        <f>Table1[[#This Row],[Unit]]</f>
        <v>-</v>
      </c>
    </row>
    <row r="11" spans="1:5" x14ac:dyDescent="0.25">
      <c r="A11" s="1" t="s">
        <v>6</v>
      </c>
      <c r="B11">
        <v>1</v>
      </c>
      <c r="C11" t="s">
        <v>4</v>
      </c>
      <c r="D11">
        <f>Table1[[#This Row],[Value]]</f>
        <v>1</v>
      </c>
      <c r="E11" t="str">
        <f>Table1[[#This Row],[Unit]]</f>
        <v>m</v>
      </c>
    </row>
    <row r="12" spans="1:5" x14ac:dyDescent="0.25">
      <c r="A12" s="1" t="s">
        <v>7</v>
      </c>
      <c r="B12">
        <v>0</v>
      </c>
      <c r="C12" t="s">
        <v>26</v>
      </c>
      <c r="D12">
        <f>B12/1000/3600</f>
        <v>0</v>
      </c>
      <c r="E12" t="s">
        <v>23</v>
      </c>
    </row>
    <row r="13" spans="1:5" x14ac:dyDescent="0.25">
      <c r="A13" s="1" t="s">
        <v>8</v>
      </c>
      <c r="B13">
        <v>0.56000000000000005</v>
      </c>
      <c r="C13" t="s">
        <v>24</v>
      </c>
      <c r="D13">
        <f>Table1[[#This Row],[Value]]</f>
        <v>0.56000000000000005</v>
      </c>
      <c r="E13" t="str">
        <f>Table1[[#This Row],[Unit]]</f>
        <v>-</v>
      </c>
    </row>
    <row r="14" spans="1:5" x14ac:dyDescent="0.25">
      <c r="A14" s="1" t="s">
        <v>10</v>
      </c>
      <c r="B14">
        <v>0</v>
      </c>
      <c r="C14" t="s">
        <v>27</v>
      </c>
      <c r="D14">
        <f>Table1[[#This Row],[Value]]*3600</f>
        <v>0</v>
      </c>
      <c r="E14" t="s">
        <v>30</v>
      </c>
    </row>
    <row r="15" spans="1:5" x14ac:dyDescent="0.25">
      <c r="A15" s="1" t="s">
        <v>11</v>
      </c>
      <c r="B15">
        <v>1</v>
      </c>
      <c r="C15" t="s">
        <v>27</v>
      </c>
      <c r="D15">
        <f>Table1[[#This Row],[Value]]*3600</f>
        <v>3600</v>
      </c>
      <c r="E15" t="s">
        <v>30</v>
      </c>
    </row>
    <row r="16" spans="1:5" x14ac:dyDescent="0.25">
      <c r="A16" s="1" t="s">
        <v>9</v>
      </c>
      <c r="B16">
        <v>61</v>
      </c>
      <c r="C16" t="s">
        <v>24</v>
      </c>
      <c r="D16">
        <f>Table1[[#This Row],[Value]]</f>
        <v>61</v>
      </c>
      <c r="E16" t="str">
        <f>Table1[[#This Row],[Unit]]</f>
        <v>-</v>
      </c>
    </row>
    <row r="17" spans="1:5" x14ac:dyDescent="0.25">
      <c r="A17" s="1" t="s">
        <v>12</v>
      </c>
      <c r="B17">
        <f>1+1/6</f>
        <v>1.1666666666666667</v>
      </c>
      <c r="C17" t="s">
        <v>27</v>
      </c>
      <c r="D17">
        <f>Table1[[#This Row],[Value]]*3600</f>
        <v>4200</v>
      </c>
      <c r="E17" t="s">
        <v>30</v>
      </c>
    </row>
    <row r="18" spans="1:5" x14ac:dyDescent="0.25">
      <c r="A18" s="1" t="s">
        <v>13</v>
      </c>
      <c r="B18">
        <v>5</v>
      </c>
      <c r="C18" t="s">
        <v>27</v>
      </c>
      <c r="D18">
        <f>Table1[[#This Row],[Value]]*3600</f>
        <v>18000</v>
      </c>
      <c r="E18" t="s">
        <v>30</v>
      </c>
    </row>
    <row r="19" spans="1:5" x14ac:dyDescent="0.25">
      <c r="A19" s="1" t="s">
        <v>14</v>
      </c>
      <c r="B19">
        <f>4*6</f>
        <v>24</v>
      </c>
      <c r="C19" t="s">
        <v>24</v>
      </c>
      <c r="D19">
        <f>Table1[[#This Row],[Value]]</f>
        <v>24</v>
      </c>
      <c r="E19" t="str">
        <f>Table1[[#This Row],[Unit]]</f>
        <v>-</v>
      </c>
    </row>
    <row r="20" spans="1:5" x14ac:dyDescent="0.25">
      <c r="A20" s="1" t="s">
        <v>15</v>
      </c>
      <c r="B20">
        <v>6</v>
      </c>
      <c r="C20" t="s">
        <v>27</v>
      </c>
      <c r="D20">
        <f>Table1[[#This Row],[Value]]*3600</f>
        <v>21600</v>
      </c>
      <c r="E20" t="s">
        <v>30</v>
      </c>
    </row>
    <row r="21" spans="1:5" x14ac:dyDescent="0.25">
      <c r="A21" s="1" t="s">
        <v>16</v>
      </c>
      <c r="B21">
        <v>25</v>
      </c>
      <c r="C21" t="s">
        <v>27</v>
      </c>
      <c r="D21">
        <f>Table1[[#This Row],[Value]]*3600</f>
        <v>90000</v>
      </c>
      <c r="E21" t="s">
        <v>30</v>
      </c>
    </row>
    <row r="22" spans="1:5" x14ac:dyDescent="0.25">
      <c r="A22" s="1" t="s">
        <v>17</v>
      </c>
      <c r="B22">
        <v>39</v>
      </c>
      <c r="C22" t="s">
        <v>24</v>
      </c>
      <c r="D22">
        <f>Table1[[#This Row],[Value]]</f>
        <v>39</v>
      </c>
      <c r="E22" t="str">
        <f>Table1[[#This Row],[Unit]]</f>
        <v>-</v>
      </c>
    </row>
    <row r="23" spans="1:5" x14ac:dyDescent="0.25">
      <c r="A23" s="1" t="s">
        <v>28</v>
      </c>
      <c r="B23">
        <f>B21</f>
        <v>25</v>
      </c>
      <c r="C23" t="s">
        <v>27</v>
      </c>
      <c r="D23">
        <f>Table1[[#This Row],[Value]]*3600</f>
        <v>90000</v>
      </c>
      <c r="E23" t="s">
        <v>30</v>
      </c>
    </row>
    <row r="24" spans="1:5" x14ac:dyDescent="0.25">
      <c r="A24" s="1" t="s">
        <v>29</v>
      </c>
      <c r="B24">
        <f>B16+B19+B22</f>
        <v>124</v>
      </c>
      <c r="C24" t="s">
        <v>24</v>
      </c>
      <c r="D24">
        <f>Table1[[#This Row],[Value]]</f>
        <v>124</v>
      </c>
      <c r="E24" t="str">
        <f>Table1[[#This Row],[Unit]]</f>
        <v>-</v>
      </c>
    </row>
  </sheetData>
  <mergeCells count="1">
    <mergeCell ref="B1:D1"/>
  </mergeCells>
  <pageMargins left="0.7" right="0.7" top="0.75" bottom="0.75" header="0.3" footer="0.3"/>
  <pageSetup paperSize="9" orientation="portrait" horizontalDpi="0" verticalDpi="0" r:id="rId1"/>
  <ignoredErrors>
    <ignoredError sqref="D12:E12 D17:D18 D14:D15 E14:E15 E17:E18 D23:E23 D20:D21 E20:E2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Sheet.Run_Click">
                <anchor moveWithCells="1" sizeWithCells="1">
                  <from>
                    <xdr:col>0</xdr:col>
                    <xdr:colOff>542925</xdr:colOff>
                    <xdr:row>1</xdr:row>
                    <xdr:rowOff>114300</xdr:rowOff>
                  </from>
                  <to>
                    <xdr:col>1</xdr:col>
                    <xdr:colOff>438150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putSheet.Results_Click">
                <anchor moveWithCells="1" sizeWithCells="1">
                  <from>
                    <xdr:col>3</xdr:col>
                    <xdr:colOff>542925</xdr:colOff>
                    <xdr:row>1</xdr:row>
                    <xdr:rowOff>114300</xdr:rowOff>
                  </from>
                  <to>
                    <xdr:col>4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putSheet.Input_Click">
                <anchor moveWithCells="1" sizeWithCells="1">
                  <from>
                    <xdr:col>2</xdr:col>
                    <xdr:colOff>123825</xdr:colOff>
                    <xdr:row>1</xdr:row>
                    <xdr:rowOff>114300</xdr:rowOff>
                  </from>
                  <to>
                    <xdr:col>3</xdr:col>
                    <xdr:colOff>238125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B5552-94A3-41C7-B8E7-8EB1FA21DAB2}">
  <sheetPr codeName="ResultsSheet"/>
  <dimension ref="A1:D128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1.28515625" customWidth="1"/>
    <col min="2" max="2" width="10.5703125" customWidth="1"/>
  </cols>
  <sheetData>
    <row r="1" spans="1:4" s="2" customFormat="1" ht="23.25" x14ac:dyDescent="0.35">
      <c r="A1" s="3" t="s">
        <v>31</v>
      </c>
      <c r="B1" s="4" t="s">
        <v>32</v>
      </c>
      <c r="C1" s="4"/>
      <c r="D1" s="4"/>
    </row>
    <row r="2" spans="1:4" s="2" customFormat="1" x14ac:dyDescent="0.25"/>
    <row r="3" spans="1:4" s="2" customFormat="1" x14ac:dyDescent="0.25"/>
    <row r="4" spans="1:4" x14ac:dyDescent="0.25">
      <c r="A4" t="s">
        <v>34</v>
      </c>
      <c r="B4" t="s">
        <v>33</v>
      </c>
      <c r="C4" t="s">
        <v>35</v>
      </c>
      <c r="D4" t="s">
        <v>33</v>
      </c>
    </row>
    <row r="5" spans="1:4" x14ac:dyDescent="0.25">
      <c r="A5">
        <v>0</v>
      </c>
      <c r="B5">
        <v>0.56000000000000005</v>
      </c>
      <c r="C5">
        <f>A5/3600</f>
        <v>0</v>
      </c>
      <c r="D5">
        <f>B5</f>
        <v>0.56000000000000005</v>
      </c>
    </row>
    <row r="6" spans="1:4" x14ac:dyDescent="0.25">
      <c r="A6">
        <v>60</v>
      </c>
      <c r="B6">
        <v>0.55913202519941041</v>
      </c>
      <c r="C6">
        <f t="shared" ref="C6:C69" si="0">A6/3600</f>
        <v>1.6666666666666666E-2</v>
      </c>
      <c r="D6">
        <f t="shared" ref="D6:D69" si="1">B6</f>
        <v>0.55913202519941041</v>
      </c>
    </row>
    <row r="7" spans="1:4" x14ac:dyDescent="0.25">
      <c r="A7">
        <v>120</v>
      </c>
      <c r="B7">
        <v>0.5582732686501739</v>
      </c>
      <c r="C7">
        <f t="shared" si="0"/>
        <v>3.3333333333333333E-2</v>
      </c>
      <c r="D7">
        <f t="shared" si="1"/>
        <v>0.5582732686501739</v>
      </c>
    </row>
    <row r="8" spans="1:4" x14ac:dyDescent="0.25">
      <c r="A8">
        <v>180</v>
      </c>
      <c r="B8">
        <v>0.5574235228087876</v>
      </c>
      <c r="C8">
        <f t="shared" si="0"/>
        <v>0.05</v>
      </c>
      <c r="D8">
        <f t="shared" si="1"/>
        <v>0.5574235228087876</v>
      </c>
    </row>
    <row r="9" spans="1:4" x14ac:dyDescent="0.25">
      <c r="A9">
        <v>240</v>
      </c>
      <c r="B9">
        <v>0.5565826331296797</v>
      </c>
      <c r="C9">
        <f t="shared" si="0"/>
        <v>6.6666666666666666E-2</v>
      </c>
      <c r="D9">
        <f t="shared" si="1"/>
        <v>0.5565826331296797</v>
      </c>
    </row>
    <row r="10" spans="1:4" x14ac:dyDescent="0.25">
      <c r="A10">
        <v>300</v>
      </c>
      <c r="B10">
        <v>0.55575043394957746</v>
      </c>
      <c r="C10">
        <f t="shared" si="0"/>
        <v>8.3333333333333329E-2</v>
      </c>
      <c r="D10">
        <f t="shared" si="1"/>
        <v>0.55575043394957746</v>
      </c>
    </row>
    <row r="11" spans="1:4" x14ac:dyDescent="0.25">
      <c r="A11">
        <v>360</v>
      </c>
      <c r="B11">
        <v>0.55492680869028022</v>
      </c>
      <c r="C11">
        <f t="shared" si="0"/>
        <v>0.1</v>
      </c>
      <c r="D11">
        <f t="shared" si="1"/>
        <v>0.55492680869028022</v>
      </c>
    </row>
    <row r="12" spans="1:4" x14ac:dyDescent="0.25">
      <c r="A12">
        <v>420</v>
      </c>
      <c r="B12">
        <v>0.55411154729242851</v>
      </c>
      <c r="C12">
        <f t="shared" si="0"/>
        <v>0.11666666666666667</v>
      </c>
      <c r="D12">
        <f t="shared" si="1"/>
        <v>0.55411154729242851</v>
      </c>
    </row>
    <row r="13" spans="1:4" x14ac:dyDescent="0.25">
      <c r="A13">
        <v>480</v>
      </c>
      <c r="B13">
        <v>0.55330444706307813</v>
      </c>
      <c r="C13">
        <f t="shared" si="0"/>
        <v>0.13333333333333333</v>
      </c>
      <c r="D13">
        <f t="shared" si="1"/>
        <v>0.55330444706307813</v>
      </c>
    </row>
    <row r="14" spans="1:4" x14ac:dyDescent="0.25">
      <c r="A14">
        <v>540</v>
      </c>
      <c r="B14">
        <v>0.5525053358207519</v>
      </c>
      <c r="C14">
        <f t="shared" si="0"/>
        <v>0.15</v>
      </c>
      <c r="D14">
        <f t="shared" si="1"/>
        <v>0.5525053358207519</v>
      </c>
    </row>
    <row r="15" spans="1:4" x14ac:dyDescent="0.25">
      <c r="A15">
        <v>600</v>
      </c>
      <c r="B15">
        <v>0.55171411314784202</v>
      </c>
      <c r="C15">
        <f t="shared" si="0"/>
        <v>0.16666666666666666</v>
      </c>
      <c r="D15">
        <f t="shared" si="1"/>
        <v>0.55171411314784202</v>
      </c>
    </row>
    <row r="16" spans="1:4" x14ac:dyDescent="0.25">
      <c r="A16">
        <v>660</v>
      </c>
      <c r="B16">
        <v>0.55093063168855672</v>
      </c>
      <c r="C16">
        <f t="shared" si="0"/>
        <v>0.18333333333333332</v>
      </c>
      <c r="D16">
        <f t="shared" si="1"/>
        <v>0.55093063168855672</v>
      </c>
    </row>
    <row r="17" spans="1:4" x14ac:dyDescent="0.25">
      <c r="A17">
        <v>720</v>
      </c>
      <c r="B17">
        <v>0.55015474113603158</v>
      </c>
      <c r="C17">
        <f t="shared" si="0"/>
        <v>0.2</v>
      </c>
      <c r="D17">
        <f t="shared" si="1"/>
        <v>0.55015474113603158</v>
      </c>
    </row>
    <row r="18" spans="1:4" x14ac:dyDescent="0.25">
      <c r="A18">
        <v>780</v>
      </c>
      <c r="B18">
        <v>0.54938630845457814</v>
      </c>
      <c r="C18">
        <f t="shared" si="0"/>
        <v>0.21666666666666667</v>
      </c>
      <c r="D18">
        <f t="shared" si="1"/>
        <v>0.54938630845457814</v>
      </c>
    </row>
    <row r="19" spans="1:4" x14ac:dyDescent="0.25">
      <c r="A19">
        <v>840</v>
      </c>
      <c r="B19">
        <v>0.54862520758384026</v>
      </c>
      <c r="C19">
        <f t="shared" si="0"/>
        <v>0.23333333333333334</v>
      </c>
      <c r="D19">
        <f t="shared" si="1"/>
        <v>0.54862520758384026</v>
      </c>
    </row>
    <row r="20" spans="1:4" x14ac:dyDescent="0.25">
      <c r="A20">
        <v>900</v>
      </c>
      <c r="B20">
        <v>0.54787130254477445</v>
      </c>
      <c r="C20">
        <f t="shared" si="0"/>
        <v>0.25</v>
      </c>
      <c r="D20">
        <f t="shared" si="1"/>
        <v>0.54787130254477445</v>
      </c>
    </row>
    <row r="21" spans="1:4" x14ac:dyDescent="0.25">
      <c r="A21">
        <v>960</v>
      </c>
      <c r="B21">
        <v>0.54712447663577535</v>
      </c>
      <c r="C21">
        <f t="shared" si="0"/>
        <v>0.26666666666666666</v>
      </c>
      <c r="D21">
        <f t="shared" si="1"/>
        <v>0.54712447663577535</v>
      </c>
    </row>
    <row r="22" spans="1:4" x14ac:dyDescent="0.25">
      <c r="A22">
        <v>1020</v>
      </c>
      <c r="B22">
        <v>0.54638456693234427</v>
      </c>
      <c r="C22">
        <f t="shared" si="0"/>
        <v>0.28333333333333333</v>
      </c>
      <c r="D22">
        <f t="shared" si="1"/>
        <v>0.54638456693234427</v>
      </c>
    </row>
    <row r="23" spans="1:4" x14ac:dyDescent="0.25">
      <c r="A23">
        <v>1080</v>
      </c>
      <c r="B23">
        <v>0.54565149515933498</v>
      </c>
      <c r="C23">
        <f t="shared" si="0"/>
        <v>0.3</v>
      </c>
      <c r="D23">
        <f t="shared" si="1"/>
        <v>0.54565149515933498</v>
      </c>
    </row>
    <row r="24" spans="1:4" x14ac:dyDescent="0.25">
      <c r="A24">
        <v>1140</v>
      </c>
      <c r="B24">
        <v>0.54492513166906509</v>
      </c>
      <c r="C24">
        <f t="shared" si="0"/>
        <v>0.31666666666666665</v>
      </c>
      <c r="D24">
        <f t="shared" si="1"/>
        <v>0.54492513166906509</v>
      </c>
    </row>
    <row r="25" spans="1:4" x14ac:dyDescent="0.25">
      <c r="A25">
        <v>1200</v>
      </c>
      <c r="B25">
        <v>0.54420535377738044</v>
      </c>
      <c r="C25">
        <f t="shared" si="0"/>
        <v>0.33333333333333331</v>
      </c>
      <c r="D25">
        <f t="shared" si="1"/>
        <v>0.54420535377738044</v>
      </c>
    </row>
    <row r="26" spans="1:4" x14ac:dyDescent="0.25">
      <c r="A26">
        <v>1260</v>
      </c>
      <c r="B26">
        <v>0.54349205412915291</v>
      </c>
      <c r="C26">
        <f t="shared" si="0"/>
        <v>0.35</v>
      </c>
      <c r="D26">
        <f t="shared" si="1"/>
        <v>0.54349205412915291</v>
      </c>
    </row>
    <row r="27" spans="1:4" x14ac:dyDescent="0.25">
      <c r="A27">
        <v>1320</v>
      </c>
      <c r="B27">
        <v>0.54278512271376544</v>
      </c>
      <c r="C27">
        <f t="shared" si="0"/>
        <v>0.36666666666666664</v>
      </c>
      <c r="D27">
        <f t="shared" si="1"/>
        <v>0.54278512271376544</v>
      </c>
    </row>
    <row r="28" spans="1:4" x14ac:dyDescent="0.25">
      <c r="A28">
        <v>1380</v>
      </c>
      <c r="B28">
        <v>0.54208445330860022</v>
      </c>
      <c r="C28">
        <f t="shared" si="0"/>
        <v>0.38333333333333336</v>
      </c>
      <c r="D28">
        <f t="shared" si="1"/>
        <v>0.54208445330860022</v>
      </c>
    </row>
    <row r="29" spans="1:4" x14ac:dyDescent="0.25">
      <c r="A29">
        <v>1440</v>
      </c>
      <c r="B29">
        <v>0.54138994428603116</v>
      </c>
      <c r="C29">
        <f t="shared" si="0"/>
        <v>0.4</v>
      </c>
      <c r="D29">
        <f t="shared" si="1"/>
        <v>0.54138994428603116</v>
      </c>
    </row>
    <row r="30" spans="1:4" x14ac:dyDescent="0.25">
      <c r="A30">
        <v>1500</v>
      </c>
      <c r="B30">
        <v>0.54070149861342387</v>
      </c>
      <c r="C30">
        <f t="shared" si="0"/>
        <v>0.41666666666666669</v>
      </c>
      <c r="D30">
        <f t="shared" si="1"/>
        <v>0.54070149861342387</v>
      </c>
    </row>
    <row r="31" spans="1:4" x14ac:dyDescent="0.25">
      <c r="A31">
        <v>1560</v>
      </c>
      <c r="B31">
        <v>0.54001902097724963</v>
      </c>
      <c r="C31">
        <f t="shared" si="0"/>
        <v>0.43333333333333335</v>
      </c>
      <c r="D31">
        <f t="shared" si="1"/>
        <v>0.54001902097724963</v>
      </c>
    </row>
    <row r="32" spans="1:4" x14ac:dyDescent="0.25">
      <c r="A32">
        <v>1620</v>
      </c>
      <c r="B32">
        <v>0.53934240546547019</v>
      </c>
      <c r="C32">
        <f t="shared" si="0"/>
        <v>0.45</v>
      </c>
      <c r="D32">
        <f t="shared" si="1"/>
        <v>0.53934240546547019</v>
      </c>
    </row>
    <row r="33" spans="1:4" x14ac:dyDescent="0.25">
      <c r="A33">
        <v>1680</v>
      </c>
      <c r="B33">
        <v>0.53867155706784087</v>
      </c>
      <c r="C33">
        <f t="shared" si="0"/>
        <v>0.46666666666666667</v>
      </c>
      <c r="D33">
        <f t="shared" si="1"/>
        <v>0.53867155706784087</v>
      </c>
    </row>
    <row r="34" spans="1:4" x14ac:dyDescent="0.25">
      <c r="A34">
        <v>1740</v>
      </c>
      <c r="B34">
        <v>0.5380063856238062</v>
      </c>
      <c r="C34">
        <f t="shared" si="0"/>
        <v>0.48333333333333334</v>
      </c>
      <c r="D34">
        <f t="shared" si="1"/>
        <v>0.5380063856238062</v>
      </c>
    </row>
    <row r="35" spans="1:4" x14ac:dyDescent="0.25">
      <c r="A35">
        <v>1800</v>
      </c>
      <c r="B35">
        <v>0.53734680415739</v>
      </c>
      <c r="C35">
        <f t="shared" si="0"/>
        <v>0.5</v>
      </c>
      <c r="D35">
        <f t="shared" si="1"/>
        <v>0.53734680415739</v>
      </c>
    </row>
    <row r="36" spans="1:4" x14ac:dyDescent="0.25">
      <c r="A36">
        <v>1860</v>
      </c>
      <c r="B36">
        <v>0.53669272887719377</v>
      </c>
      <c r="C36">
        <f t="shared" si="0"/>
        <v>0.51666666666666672</v>
      </c>
      <c r="D36">
        <f t="shared" si="1"/>
        <v>0.53669272887719377</v>
      </c>
    </row>
    <row r="37" spans="1:4" x14ac:dyDescent="0.25">
      <c r="A37">
        <v>1920</v>
      </c>
      <c r="B37">
        <v>0.53604407781251684</v>
      </c>
      <c r="C37">
        <f t="shared" si="0"/>
        <v>0.53333333333333333</v>
      </c>
      <c r="D37">
        <f t="shared" si="1"/>
        <v>0.53604407781251684</v>
      </c>
    </row>
    <row r="38" spans="1:4" x14ac:dyDescent="0.25">
      <c r="A38">
        <v>1980</v>
      </c>
      <c r="B38">
        <v>0.53540076042589213</v>
      </c>
      <c r="C38">
        <f t="shared" si="0"/>
        <v>0.55000000000000004</v>
      </c>
      <c r="D38">
        <f t="shared" si="1"/>
        <v>0.53540076042589213</v>
      </c>
    </row>
    <row r="39" spans="1:4" x14ac:dyDescent="0.25">
      <c r="A39">
        <v>2040</v>
      </c>
      <c r="B39">
        <v>0.53476269298731871</v>
      </c>
      <c r="C39">
        <f t="shared" si="0"/>
        <v>0.56666666666666665</v>
      </c>
      <c r="D39">
        <f t="shared" si="1"/>
        <v>0.53476269298731871</v>
      </c>
    </row>
    <row r="40" spans="1:4" x14ac:dyDescent="0.25">
      <c r="A40">
        <v>2100</v>
      </c>
      <c r="B40">
        <v>0.53412979580931441</v>
      </c>
      <c r="C40">
        <f t="shared" si="0"/>
        <v>0.58333333333333337</v>
      </c>
      <c r="D40">
        <f t="shared" si="1"/>
        <v>0.53412979580931441</v>
      </c>
    </row>
    <row r="41" spans="1:4" x14ac:dyDescent="0.25">
      <c r="A41">
        <v>2160</v>
      </c>
      <c r="B41">
        <v>0.53350199131608345</v>
      </c>
      <c r="C41">
        <f t="shared" si="0"/>
        <v>0.6</v>
      </c>
      <c r="D41">
        <f t="shared" si="1"/>
        <v>0.53350199131608345</v>
      </c>
    </row>
    <row r="42" spans="1:4" x14ac:dyDescent="0.25">
      <c r="A42">
        <v>2220</v>
      </c>
      <c r="B42">
        <v>0.53287920404351607</v>
      </c>
      <c r="C42">
        <f t="shared" si="0"/>
        <v>0.6166666666666667</v>
      </c>
      <c r="D42">
        <f t="shared" si="1"/>
        <v>0.53287920404351607</v>
      </c>
    </row>
    <row r="43" spans="1:4" x14ac:dyDescent="0.25">
      <c r="A43">
        <v>2280</v>
      </c>
      <c r="B43">
        <v>0.53226136039561245</v>
      </c>
      <c r="C43">
        <f t="shared" si="0"/>
        <v>0.6333333333333333</v>
      </c>
      <c r="D43">
        <f t="shared" si="1"/>
        <v>0.53226136039561245</v>
      </c>
    </row>
    <row r="44" spans="1:4" x14ac:dyDescent="0.25">
      <c r="A44">
        <v>2340</v>
      </c>
      <c r="B44">
        <v>0.53164838513992407</v>
      </c>
      <c r="C44">
        <f t="shared" si="0"/>
        <v>0.65</v>
      </c>
      <c r="D44">
        <f t="shared" si="1"/>
        <v>0.53164838513992407</v>
      </c>
    </row>
    <row r="45" spans="1:4" x14ac:dyDescent="0.25">
      <c r="A45">
        <v>2400</v>
      </c>
      <c r="B45">
        <v>0.53104020581624722</v>
      </c>
      <c r="C45">
        <f t="shared" si="0"/>
        <v>0.66666666666666663</v>
      </c>
      <c r="D45">
        <f t="shared" si="1"/>
        <v>0.53104020581624722</v>
      </c>
    </row>
    <row r="46" spans="1:4" x14ac:dyDescent="0.25">
      <c r="A46">
        <v>2460</v>
      </c>
      <c r="B46">
        <v>0.53043675261522083</v>
      </c>
      <c r="C46">
        <f t="shared" si="0"/>
        <v>0.68333333333333335</v>
      </c>
      <c r="D46">
        <f t="shared" si="1"/>
        <v>0.53043675261522083</v>
      </c>
    </row>
    <row r="47" spans="1:4" x14ac:dyDescent="0.25">
      <c r="A47">
        <v>2520</v>
      </c>
      <c r="B47">
        <v>0.52983795748737039</v>
      </c>
      <c r="C47">
        <f t="shared" si="0"/>
        <v>0.7</v>
      </c>
      <c r="D47">
        <f t="shared" si="1"/>
        <v>0.52983795748737039</v>
      </c>
    </row>
    <row r="48" spans="1:4" x14ac:dyDescent="0.25">
      <c r="A48">
        <v>2580</v>
      </c>
      <c r="B48">
        <v>0.52924375414310798</v>
      </c>
      <c r="C48">
        <f t="shared" si="0"/>
        <v>0.71666666666666667</v>
      </c>
      <c r="D48">
        <f t="shared" si="1"/>
        <v>0.52924375414310798</v>
      </c>
    </row>
    <row r="49" spans="1:4" x14ac:dyDescent="0.25">
      <c r="A49">
        <v>2640</v>
      </c>
      <c r="B49">
        <v>0.52865408077512788</v>
      </c>
      <c r="C49">
        <f t="shared" si="0"/>
        <v>0.73333333333333328</v>
      </c>
      <c r="D49">
        <f t="shared" si="1"/>
        <v>0.52865408077512788</v>
      </c>
    </row>
    <row r="50" spans="1:4" x14ac:dyDescent="0.25">
      <c r="A50">
        <v>2700</v>
      </c>
      <c r="B50">
        <v>0.52806886436062017</v>
      </c>
      <c r="C50">
        <f t="shared" si="0"/>
        <v>0.75</v>
      </c>
      <c r="D50">
        <f t="shared" si="1"/>
        <v>0.52806886436062017</v>
      </c>
    </row>
    <row r="51" spans="1:4" x14ac:dyDescent="0.25">
      <c r="A51">
        <v>2760</v>
      </c>
      <c r="B51">
        <v>0.52748804639760294</v>
      </c>
      <c r="C51">
        <f t="shared" si="0"/>
        <v>0.76666666666666672</v>
      </c>
      <c r="D51">
        <f t="shared" si="1"/>
        <v>0.52748804639760294</v>
      </c>
    </row>
    <row r="52" spans="1:4" x14ac:dyDescent="0.25">
      <c r="A52">
        <v>2820</v>
      </c>
      <c r="B52">
        <v>0.52691156491678004</v>
      </c>
      <c r="C52">
        <f t="shared" si="0"/>
        <v>0.78333333333333333</v>
      </c>
      <c r="D52">
        <f t="shared" si="1"/>
        <v>0.52691156491678004</v>
      </c>
    </row>
    <row r="53" spans="1:4" x14ac:dyDescent="0.25">
      <c r="A53">
        <v>2880</v>
      </c>
      <c r="B53">
        <v>0.52633935960428035</v>
      </c>
      <c r="C53">
        <f t="shared" si="0"/>
        <v>0.8</v>
      </c>
      <c r="D53">
        <f t="shared" si="1"/>
        <v>0.52633935960428035</v>
      </c>
    </row>
    <row r="54" spans="1:4" x14ac:dyDescent="0.25">
      <c r="A54">
        <v>2940</v>
      </c>
      <c r="B54">
        <v>0.52577137175446254</v>
      </c>
      <c r="C54">
        <f t="shared" si="0"/>
        <v>0.81666666666666665</v>
      </c>
      <c r="D54">
        <f t="shared" si="1"/>
        <v>0.52577137175446254</v>
      </c>
    </row>
    <row r="55" spans="1:4" x14ac:dyDescent="0.25">
      <c r="A55">
        <v>3000</v>
      </c>
      <c r="B55">
        <v>0.52520754420623272</v>
      </c>
      <c r="C55">
        <f t="shared" si="0"/>
        <v>0.83333333333333337</v>
      </c>
      <c r="D55">
        <f t="shared" si="1"/>
        <v>0.52520754420623272</v>
      </c>
    </row>
    <row r="56" spans="1:4" x14ac:dyDescent="0.25">
      <c r="A56">
        <v>3060</v>
      </c>
      <c r="B56">
        <v>0.52464781918860526</v>
      </c>
      <c r="C56">
        <f t="shared" si="0"/>
        <v>0.85</v>
      </c>
      <c r="D56">
        <f t="shared" si="1"/>
        <v>0.52464781918860526</v>
      </c>
    </row>
    <row r="57" spans="1:4" x14ac:dyDescent="0.25">
      <c r="A57">
        <v>3120</v>
      </c>
      <c r="B57">
        <v>0.52409214004604354</v>
      </c>
      <c r="C57">
        <f t="shared" si="0"/>
        <v>0.8666666666666667</v>
      </c>
      <c r="D57">
        <f t="shared" si="1"/>
        <v>0.52409214004604354</v>
      </c>
    </row>
    <row r="58" spans="1:4" x14ac:dyDescent="0.25">
      <c r="A58">
        <v>3180</v>
      </c>
      <c r="B58">
        <v>0.52354045242565816</v>
      </c>
      <c r="C58">
        <f t="shared" si="0"/>
        <v>0.8833333333333333</v>
      </c>
      <c r="D58">
        <f t="shared" si="1"/>
        <v>0.52354045242565816</v>
      </c>
    </row>
    <row r="59" spans="1:4" x14ac:dyDescent="0.25">
      <c r="A59">
        <v>3240</v>
      </c>
      <c r="B59">
        <v>0.52299270309577028</v>
      </c>
      <c r="C59">
        <f t="shared" si="0"/>
        <v>0.9</v>
      </c>
      <c r="D59">
        <f t="shared" si="1"/>
        <v>0.52299270309577028</v>
      </c>
    </row>
    <row r="60" spans="1:4" x14ac:dyDescent="0.25">
      <c r="A60">
        <v>3300</v>
      </c>
      <c r="B60">
        <v>0.52244883988304658</v>
      </c>
      <c r="C60">
        <f t="shared" si="0"/>
        <v>0.91666666666666663</v>
      </c>
      <c r="D60">
        <f t="shared" si="1"/>
        <v>0.52244883988304658</v>
      </c>
    </row>
    <row r="61" spans="1:4" x14ac:dyDescent="0.25">
      <c r="A61">
        <v>3360</v>
      </c>
      <c r="B61">
        <v>0.52190881160963354</v>
      </c>
      <c r="C61">
        <f t="shared" si="0"/>
        <v>0.93333333333333335</v>
      </c>
      <c r="D61">
        <f t="shared" si="1"/>
        <v>0.52190881160963354</v>
      </c>
    </row>
    <row r="62" spans="1:4" x14ac:dyDescent="0.25">
      <c r="A62">
        <v>3420</v>
      </c>
      <c r="B62">
        <v>0.52137256803029264</v>
      </c>
      <c r="C62">
        <f t="shared" si="0"/>
        <v>0.95</v>
      </c>
      <c r="D62">
        <f t="shared" si="1"/>
        <v>0.52137256803029264</v>
      </c>
    </row>
    <row r="63" spans="1:4" x14ac:dyDescent="0.25">
      <c r="A63">
        <v>3480</v>
      </c>
      <c r="B63">
        <v>0.52084005976953474</v>
      </c>
      <c r="C63">
        <f t="shared" si="0"/>
        <v>0.96666666666666667</v>
      </c>
      <c r="D63">
        <f t="shared" si="1"/>
        <v>0.52084005976953474</v>
      </c>
    </row>
    <row r="64" spans="1:4" x14ac:dyDescent="0.25">
      <c r="A64">
        <v>3540</v>
      </c>
      <c r="B64">
        <v>0.52031123825875503</v>
      </c>
      <c r="C64">
        <f t="shared" si="0"/>
        <v>0.98333333333333328</v>
      </c>
      <c r="D64">
        <f t="shared" si="1"/>
        <v>0.52031123825875503</v>
      </c>
    </row>
    <row r="65" spans="1:4" x14ac:dyDescent="0.25">
      <c r="A65">
        <v>3600</v>
      </c>
      <c r="B65">
        <v>0.51978605624342433</v>
      </c>
      <c r="C65">
        <f t="shared" si="0"/>
        <v>1</v>
      </c>
      <c r="D65">
        <f t="shared" si="1"/>
        <v>0.51978605624342433</v>
      </c>
    </row>
    <row r="66" spans="1:4" x14ac:dyDescent="0.25">
      <c r="A66">
        <v>4200</v>
      </c>
      <c r="B66">
        <v>0.51472454892514929</v>
      </c>
      <c r="C66">
        <f t="shared" si="0"/>
        <v>1.1666666666666667</v>
      </c>
      <c r="D66">
        <f t="shared" si="1"/>
        <v>0.51472454892514929</v>
      </c>
    </row>
    <row r="67" spans="1:4" x14ac:dyDescent="0.25">
      <c r="A67">
        <v>4800</v>
      </c>
      <c r="B67">
        <v>0.50998055313193857</v>
      </c>
      <c r="C67">
        <f t="shared" si="0"/>
        <v>1.3333333333333333</v>
      </c>
      <c r="D67">
        <f t="shared" si="1"/>
        <v>0.50998055313193857</v>
      </c>
    </row>
    <row r="68" spans="1:4" x14ac:dyDescent="0.25">
      <c r="A68">
        <v>5400</v>
      </c>
      <c r="B68">
        <v>0.50551869198987964</v>
      </c>
      <c r="C68">
        <f t="shared" si="0"/>
        <v>1.5</v>
      </c>
      <c r="D68">
        <f t="shared" si="1"/>
        <v>0.50551869198987964</v>
      </c>
    </row>
    <row r="69" spans="1:4" x14ac:dyDescent="0.25">
      <c r="A69">
        <v>6000</v>
      </c>
      <c r="B69">
        <v>0.50130907231217436</v>
      </c>
      <c r="C69">
        <f t="shared" si="0"/>
        <v>1.6666666666666667</v>
      </c>
      <c r="D69">
        <f t="shared" si="1"/>
        <v>0.50130907231217436</v>
      </c>
    </row>
    <row r="70" spans="1:4" x14ac:dyDescent="0.25">
      <c r="A70">
        <v>6600</v>
      </c>
      <c r="B70">
        <v>0.49732623908401918</v>
      </c>
      <c r="C70">
        <f t="shared" ref="C70:C128" si="2">A70/3600</f>
        <v>1.8333333333333333</v>
      </c>
      <c r="D70">
        <f t="shared" ref="D70:D128" si="3">B70</f>
        <v>0.49732623908401918</v>
      </c>
    </row>
    <row r="71" spans="1:4" x14ac:dyDescent="0.25">
      <c r="A71">
        <v>7200</v>
      </c>
      <c r="B71">
        <v>0.49354835608920711</v>
      </c>
      <c r="C71">
        <f t="shared" si="2"/>
        <v>2</v>
      </c>
      <c r="D71">
        <f t="shared" si="3"/>
        <v>0.49354835608920711</v>
      </c>
    </row>
    <row r="72" spans="1:4" x14ac:dyDescent="0.25">
      <c r="A72">
        <v>7800</v>
      </c>
      <c r="B72">
        <v>0.48995649979938227</v>
      </c>
      <c r="C72">
        <f t="shared" si="2"/>
        <v>2.1666666666666665</v>
      </c>
      <c r="D72">
        <f t="shared" si="3"/>
        <v>0.48995649979938227</v>
      </c>
    </row>
    <row r="73" spans="1:4" x14ac:dyDescent="0.25">
      <c r="A73">
        <v>8400</v>
      </c>
      <c r="B73">
        <v>0.48653423787108541</v>
      </c>
      <c r="C73">
        <f t="shared" si="2"/>
        <v>2.3333333333333335</v>
      </c>
      <c r="D73">
        <f t="shared" si="3"/>
        <v>0.48653423787108541</v>
      </c>
    </row>
    <row r="74" spans="1:4" x14ac:dyDescent="0.25">
      <c r="A74">
        <v>9000</v>
      </c>
      <c r="B74">
        <v>0.48326718746187103</v>
      </c>
      <c r="C74">
        <f t="shared" si="2"/>
        <v>2.5</v>
      </c>
      <c r="D74">
        <f t="shared" si="3"/>
        <v>0.48326718746187103</v>
      </c>
    </row>
    <row r="75" spans="1:4" x14ac:dyDescent="0.25">
      <c r="A75">
        <v>9600</v>
      </c>
      <c r="B75">
        <v>0.48014268038638364</v>
      </c>
      <c r="C75">
        <f t="shared" si="2"/>
        <v>2.6666666666666665</v>
      </c>
      <c r="D75">
        <f t="shared" si="3"/>
        <v>0.48014268038638364</v>
      </c>
    </row>
    <row r="76" spans="1:4" x14ac:dyDescent="0.25">
      <c r="A76">
        <v>10200</v>
      </c>
      <c r="B76">
        <v>0.47714951120048332</v>
      </c>
      <c r="C76">
        <f t="shared" si="2"/>
        <v>2.8333333333333335</v>
      </c>
      <c r="D76">
        <f t="shared" si="3"/>
        <v>0.47714951120048332</v>
      </c>
    </row>
    <row r="77" spans="1:4" x14ac:dyDescent="0.25">
      <c r="A77">
        <v>10800</v>
      </c>
      <c r="B77">
        <v>0.47427772847097199</v>
      </c>
      <c r="C77">
        <f t="shared" si="2"/>
        <v>3</v>
      </c>
      <c r="D77">
        <f t="shared" si="3"/>
        <v>0.47427772847097199</v>
      </c>
    </row>
    <row r="78" spans="1:4" x14ac:dyDescent="0.25">
      <c r="A78">
        <v>11400</v>
      </c>
      <c r="B78">
        <v>0.47151844605136306</v>
      </c>
      <c r="C78">
        <f t="shared" si="2"/>
        <v>3.1666666666666665</v>
      </c>
      <c r="D78">
        <f t="shared" si="3"/>
        <v>0.47151844605136306</v>
      </c>
    </row>
    <row r="79" spans="1:4" x14ac:dyDescent="0.25">
      <c r="A79">
        <v>12000</v>
      </c>
      <c r="B79">
        <v>0.46886370713462566</v>
      </c>
      <c r="C79">
        <f t="shared" si="2"/>
        <v>3.3333333333333335</v>
      </c>
      <c r="D79">
        <f t="shared" si="3"/>
        <v>0.46886370713462566</v>
      </c>
    </row>
    <row r="80" spans="1:4" x14ac:dyDescent="0.25">
      <c r="A80">
        <v>12600</v>
      </c>
      <c r="B80">
        <v>0.46630635403674958</v>
      </c>
      <c r="C80">
        <f t="shared" si="2"/>
        <v>3.5</v>
      </c>
      <c r="D80">
        <f t="shared" si="3"/>
        <v>0.46630635403674958</v>
      </c>
    </row>
    <row r="81" spans="1:4" x14ac:dyDescent="0.25">
      <c r="A81">
        <v>13200</v>
      </c>
      <c r="B81">
        <v>0.46383989630581191</v>
      </c>
      <c r="C81">
        <f t="shared" si="2"/>
        <v>3.6666666666666665</v>
      </c>
      <c r="D81">
        <f t="shared" si="3"/>
        <v>0.46383989630581191</v>
      </c>
    </row>
    <row r="82" spans="1:4" x14ac:dyDescent="0.25">
      <c r="A82">
        <v>13800</v>
      </c>
      <c r="B82">
        <v>0.46145850217332529</v>
      </c>
      <c r="C82">
        <f t="shared" si="2"/>
        <v>3.8333333333333335</v>
      </c>
      <c r="D82">
        <f t="shared" si="3"/>
        <v>0.46145850217332529</v>
      </c>
    </row>
    <row r="83" spans="1:4" x14ac:dyDescent="0.25">
      <c r="A83">
        <v>14400</v>
      </c>
      <c r="B83">
        <v>0.45915684098875431</v>
      </c>
      <c r="C83">
        <f t="shared" si="2"/>
        <v>4</v>
      </c>
      <c r="D83">
        <f t="shared" si="3"/>
        <v>0.45915684098875431</v>
      </c>
    </row>
    <row r="84" spans="1:4" x14ac:dyDescent="0.25">
      <c r="A84">
        <v>15000</v>
      </c>
      <c r="B84">
        <v>0.45693008227714438</v>
      </c>
      <c r="C84">
        <f t="shared" si="2"/>
        <v>4.166666666666667</v>
      </c>
      <c r="D84">
        <f t="shared" si="3"/>
        <v>0.45693008227714438</v>
      </c>
    </row>
    <row r="85" spans="1:4" x14ac:dyDescent="0.25">
      <c r="A85">
        <v>15600</v>
      </c>
      <c r="B85">
        <v>0.45477379272301804</v>
      </c>
      <c r="C85">
        <f t="shared" si="2"/>
        <v>4.333333333333333</v>
      </c>
      <c r="D85">
        <f t="shared" si="3"/>
        <v>0.45477379272301804</v>
      </c>
    </row>
    <row r="86" spans="1:4" x14ac:dyDescent="0.25">
      <c r="A86">
        <v>16200</v>
      </c>
      <c r="B86">
        <v>0.45268393044932609</v>
      </c>
      <c r="C86">
        <f t="shared" si="2"/>
        <v>4.5</v>
      </c>
      <c r="D86">
        <f t="shared" si="3"/>
        <v>0.45268393044932609</v>
      </c>
    </row>
    <row r="87" spans="1:4" x14ac:dyDescent="0.25">
      <c r="A87">
        <v>16800</v>
      </c>
      <c r="B87">
        <v>0.45065677092799361</v>
      </c>
      <c r="C87">
        <f t="shared" si="2"/>
        <v>4.666666666666667</v>
      </c>
      <c r="D87">
        <f t="shared" si="3"/>
        <v>0.45065677092799361</v>
      </c>
    </row>
    <row r="88" spans="1:4" x14ac:dyDescent="0.25">
      <c r="A88">
        <v>17400</v>
      </c>
      <c r="B88">
        <v>0.44868889939560935</v>
      </c>
      <c r="C88">
        <f t="shared" si="2"/>
        <v>4.833333333333333</v>
      </c>
      <c r="D88">
        <f t="shared" si="3"/>
        <v>0.44868889939560935</v>
      </c>
    </row>
    <row r="89" spans="1:4" x14ac:dyDescent="0.25">
      <c r="A89">
        <v>18000</v>
      </c>
      <c r="B89">
        <v>0.44677715781208938</v>
      </c>
      <c r="C89">
        <f t="shared" si="2"/>
        <v>5</v>
      </c>
      <c r="D89">
        <f t="shared" si="3"/>
        <v>0.44677715781208938</v>
      </c>
    </row>
    <row r="90" spans="1:4" x14ac:dyDescent="0.25">
      <c r="A90">
        <v>21600</v>
      </c>
      <c r="B90">
        <v>0.43633642363861053</v>
      </c>
      <c r="C90">
        <f t="shared" si="2"/>
        <v>6</v>
      </c>
      <c r="D90">
        <f t="shared" si="3"/>
        <v>0.43633642363861053</v>
      </c>
    </row>
    <row r="91" spans="1:4" x14ac:dyDescent="0.25">
      <c r="A91">
        <v>23400</v>
      </c>
      <c r="B91">
        <v>0.43167962428474066</v>
      </c>
      <c r="C91">
        <f t="shared" si="2"/>
        <v>6.5</v>
      </c>
      <c r="D91">
        <f t="shared" si="3"/>
        <v>0.43167962428474066</v>
      </c>
    </row>
    <row r="92" spans="1:4" x14ac:dyDescent="0.25">
      <c r="A92">
        <v>25200</v>
      </c>
      <c r="B92">
        <v>0.42733555117223143</v>
      </c>
      <c r="C92">
        <f t="shared" si="2"/>
        <v>7</v>
      </c>
      <c r="D92">
        <f t="shared" si="3"/>
        <v>0.42733555117223143</v>
      </c>
    </row>
    <row r="93" spans="1:4" x14ac:dyDescent="0.25">
      <c r="A93">
        <v>27000</v>
      </c>
      <c r="B93">
        <v>0.42326722927922</v>
      </c>
      <c r="C93">
        <f t="shared" si="2"/>
        <v>7.5</v>
      </c>
      <c r="D93">
        <f t="shared" si="3"/>
        <v>0.42326722927922</v>
      </c>
    </row>
    <row r="94" spans="1:4" x14ac:dyDescent="0.25">
      <c r="A94">
        <v>28800</v>
      </c>
      <c r="B94">
        <v>0.4194437562845818</v>
      </c>
      <c r="C94">
        <f t="shared" si="2"/>
        <v>8</v>
      </c>
      <c r="D94">
        <f t="shared" si="3"/>
        <v>0.4194437562845818</v>
      </c>
    </row>
    <row r="95" spans="1:4" x14ac:dyDescent="0.25">
      <c r="A95">
        <v>30600</v>
      </c>
      <c r="B95">
        <v>0.41583907465434922</v>
      </c>
      <c r="C95">
        <f t="shared" si="2"/>
        <v>8.5</v>
      </c>
      <c r="D95">
        <f t="shared" si="3"/>
        <v>0.41583907465434922</v>
      </c>
    </row>
    <row r="96" spans="1:4" x14ac:dyDescent="0.25">
      <c r="A96">
        <v>32400</v>
      </c>
      <c r="B96">
        <v>0.41243094591532831</v>
      </c>
      <c r="C96">
        <f t="shared" si="2"/>
        <v>9</v>
      </c>
      <c r="D96">
        <f t="shared" si="3"/>
        <v>0.41243094591532831</v>
      </c>
    </row>
    <row r="97" spans="1:4" x14ac:dyDescent="0.25">
      <c r="A97">
        <v>34200</v>
      </c>
      <c r="B97">
        <v>0.40920033107519727</v>
      </c>
      <c r="C97">
        <f t="shared" si="2"/>
        <v>9.5</v>
      </c>
      <c r="D97">
        <f t="shared" si="3"/>
        <v>0.40920033107519727</v>
      </c>
    </row>
    <row r="98" spans="1:4" x14ac:dyDescent="0.25">
      <c r="A98">
        <v>36000</v>
      </c>
      <c r="B98">
        <v>0.40613076859009373</v>
      </c>
      <c r="C98">
        <f t="shared" si="2"/>
        <v>10</v>
      </c>
      <c r="D98">
        <f t="shared" si="3"/>
        <v>0.40613076859009373</v>
      </c>
    </row>
    <row r="99" spans="1:4" x14ac:dyDescent="0.25">
      <c r="A99">
        <v>37800</v>
      </c>
      <c r="B99">
        <v>0.40320793635854357</v>
      </c>
      <c r="C99">
        <f t="shared" si="2"/>
        <v>10.5</v>
      </c>
      <c r="D99">
        <f t="shared" si="3"/>
        <v>0.40320793635854357</v>
      </c>
    </row>
    <row r="100" spans="1:4" x14ac:dyDescent="0.25">
      <c r="A100">
        <v>39600</v>
      </c>
      <c r="B100">
        <v>0.40041930473754289</v>
      </c>
      <c r="C100">
        <f t="shared" si="2"/>
        <v>11</v>
      </c>
      <c r="D100">
        <f t="shared" si="3"/>
        <v>0.40041930473754289</v>
      </c>
    </row>
    <row r="101" spans="1:4" x14ac:dyDescent="0.25">
      <c r="A101">
        <v>41400</v>
      </c>
      <c r="B101">
        <v>0.39775385449730094</v>
      </c>
      <c r="C101">
        <f t="shared" si="2"/>
        <v>11.5</v>
      </c>
      <c r="D101">
        <f t="shared" si="3"/>
        <v>0.39775385449730094</v>
      </c>
    </row>
    <row r="102" spans="1:4" x14ac:dyDescent="0.25">
      <c r="A102">
        <v>43200</v>
      </c>
      <c r="B102">
        <v>0.39520184046831841</v>
      </c>
      <c r="C102">
        <f t="shared" si="2"/>
        <v>12</v>
      </c>
      <c r="D102">
        <f t="shared" si="3"/>
        <v>0.39520184046831841</v>
      </c>
    </row>
    <row r="103" spans="1:4" x14ac:dyDescent="0.25">
      <c r="A103">
        <v>45000</v>
      </c>
      <c r="B103">
        <v>0.39275461852583216</v>
      </c>
      <c r="C103">
        <f t="shared" si="2"/>
        <v>12.5</v>
      </c>
      <c r="D103">
        <f t="shared" si="3"/>
        <v>0.39275461852583216</v>
      </c>
    </row>
    <row r="104" spans="1:4" x14ac:dyDescent="0.25">
      <c r="A104">
        <v>46800</v>
      </c>
      <c r="B104">
        <v>0.39040444862004042</v>
      </c>
      <c r="C104">
        <f t="shared" si="2"/>
        <v>13</v>
      </c>
      <c r="D104">
        <f t="shared" si="3"/>
        <v>0.39040444862004042</v>
      </c>
    </row>
    <row r="105" spans="1:4" x14ac:dyDescent="0.25">
      <c r="A105">
        <v>48600</v>
      </c>
      <c r="B105">
        <v>0.38814441483997381</v>
      </c>
      <c r="C105">
        <f t="shared" si="2"/>
        <v>13.5</v>
      </c>
      <c r="D105">
        <f t="shared" si="3"/>
        <v>0.38814441483997381</v>
      </c>
    </row>
    <row r="106" spans="1:4" x14ac:dyDescent="0.25">
      <c r="A106">
        <v>50400</v>
      </c>
      <c r="B106">
        <v>0.38596829554229506</v>
      </c>
      <c r="C106">
        <f t="shared" si="2"/>
        <v>14</v>
      </c>
      <c r="D106">
        <f t="shared" si="3"/>
        <v>0.38596829554229506</v>
      </c>
    </row>
    <row r="107" spans="1:4" x14ac:dyDescent="0.25">
      <c r="A107">
        <v>52200</v>
      </c>
      <c r="B107">
        <v>0.38387048818148561</v>
      </c>
      <c r="C107">
        <f t="shared" si="2"/>
        <v>14.5</v>
      </c>
      <c r="D107">
        <f t="shared" si="3"/>
        <v>0.38387048818148561</v>
      </c>
    </row>
    <row r="108" spans="1:4" x14ac:dyDescent="0.25">
      <c r="A108">
        <v>54000</v>
      </c>
      <c r="B108">
        <v>0.38184590665195067</v>
      </c>
      <c r="C108">
        <f t="shared" si="2"/>
        <v>15</v>
      </c>
      <c r="D108">
        <f t="shared" si="3"/>
        <v>0.38184590665195067</v>
      </c>
    </row>
    <row r="109" spans="1:4" x14ac:dyDescent="0.25">
      <c r="A109">
        <v>55800</v>
      </c>
      <c r="B109">
        <v>0.37988994906933737</v>
      </c>
      <c r="C109">
        <f t="shared" si="2"/>
        <v>15.5</v>
      </c>
      <c r="D109">
        <f t="shared" si="3"/>
        <v>0.37988994906933737</v>
      </c>
    </row>
    <row r="110" spans="1:4" x14ac:dyDescent="0.25">
      <c r="A110">
        <v>57600</v>
      </c>
      <c r="B110">
        <v>0.37799841043696591</v>
      </c>
      <c r="C110">
        <f t="shared" si="2"/>
        <v>16</v>
      </c>
      <c r="D110">
        <f t="shared" si="3"/>
        <v>0.37799841043696591</v>
      </c>
    </row>
    <row r="111" spans="1:4" x14ac:dyDescent="0.25">
      <c r="A111">
        <v>59400</v>
      </c>
      <c r="B111">
        <v>0.37616746528123052</v>
      </c>
      <c r="C111">
        <f t="shared" si="2"/>
        <v>16.5</v>
      </c>
      <c r="D111">
        <f t="shared" si="3"/>
        <v>0.37616746528123052</v>
      </c>
    </row>
    <row r="112" spans="1:4" x14ac:dyDescent="0.25">
      <c r="A112">
        <v>61200</v>
      </c>
      <c r="B112">
        <v>0.37439360055348858</v>
      </c>
      <c r="C112">
        <f t="shared" si="2"/>
        <v>17</v>
      </c>
      <c r="D112">
        <f t="shared" si="3"/>
        <v>0.37439360055348858</v>
      </c>
    </row>
    <row r="113" spans="1:4" x14ac:dyDescent="0.25">
      <c r="A113">
        <v>63000</v>
      </c>
      <c r="B113">
        <v>0.3726736022631465</v>
      </c>
      <c r="C113">
        <f t="shared" si="2"/>
        <v>17.5</v>
      </c>
      <c r="D113">
        <f t="shared" si="3"/>
        <v>0.3726736022631465</v>
      </c>
    </row>
    <row r="114" spans="1:4" x14ac:dyDescent="0.25">
      <c r="A114">
        <v>64800</v>
      </c>
      <c r="B114">
        <v>0.37100451293583453</v>
      </c>
      <c r="C114">
        <f t="shared" si="2"/>
        <v>18</v>
      </c>
      <c r="D114">
        <f t="shared" si="3"/>
        <v>0.37100451293583453</v>
      </c>
    </row>
    <row r="115" spans="1:4" x14ac:dyDescent="0.25">
      <c r="A115">
        <v>66600</v>
      </c>
      <c r="B115">
        <v>0.36938361127554048</v>
      </c>
      <c r="C115">
        <f t="shared" si="2"/>
        <v>18.5</v>
      </c>
      <c r="D115">
        <f t="shared" si="3"/>
        <v>0.36938361127554048</v>
      </c>
    </row>
    <row r="116" spans="1:4" x14ac:dyDescent="0.25">
      <c r="A116">
        <v>68400</v>
      </c>
      <c r="B116">
        <v>0.36780835759326641</v>
      </c>
      <c r="C116">
        <f t="shared" si="2"/>
        <v>19</v>
      </c>
      <c r="D116">
        <f t="shared" si="3"/>
        <v>0.36780835759326641</v>
      </c>
    </row>
    <row r="117" spans="1:4" x14ac:dyDescent="0.25">
      <c r="A117">
        <v>70200</v>
      </c>
      <c r="B117">
        <v>0.36627643107280611</v>
      </c>
      <c r="C117">
        <f t="shared" si="2"/>
        <v>19.5</v>
      </c>
      <c r="D117">
        <f t="shared" si="3"/>
        <v>0.36627643107280611</v>
      </c>
    </row>
    <row r="118" spans="1:4" x14ac:dyDescent="0.25">
      <c r="A118">
        <v>72000</v>
      </c>
      <c r="B118">
        <v>0.36478567391833178</v>
      </c>
      <c r="C118">
        <f t="shared" si="2"/>
        <v>20</v>
      </c>
      <c r="D118">
        <f t="shared" si="3"/>
        <v>0.36478567391833178</v>
      </c>
    </row>
    <row r="119" spans="1:4" x14ac:dyDescent="0.25">
      <c r="A119">
        <v>73800</v>
      </c>
      <c r="B119">
        <v>0.36333406895769277</v>
      </c>
      <c r="C119">
        <f t="shared" si="2"/>
        <v>20.5</v>
      </c>
      <c r="D119">
        <f t="shared" si="3"/>
        <v>0.36333406895769277</v>
      </c>
    </row>
    <row r="120" spans="1:4" x14ac:dyDescent="0.25">
      <c r="A120">
        <v>75600</v>
      </c>
      <c r="B120">
        <v>0.36191976098879702</v>
      </c>
      <c r="C120">
        <f t="shared" si="2"/>
        <v>21</v>
      </c>
      <c r="D120">
        <f t="shared" si="3"/>
        <v>0.36191976098879702</v>
      </c>
    </row>
    <row r="121" spans="1:4" x14ac:dyDescent="0.25">
      <c r="A121">
        <v>77400</v>
      </c>
      <c r="B121">
        <v>0.36054100436573405</v>
      </c>
      <c r="C121">
        <f t="shared" si="2"/>
        <v>21.5</v>
      </c>
      <c r="D121">
        <f t="shared" si="3"/>
        <v>0.36054100436573405</v>
      </c>
    </row>
    <row r="122" spans="1:4" x14ac:dyDescent="0.25">
      <c r="A122">
        <v>79200</v>
      </c>
      <c r="B122">
        <v>0.35919617520749503</v>
      </c>
      <c r="C122">
        <f t="shared" si="2"/>
        <v>22</v>
      </c>
      <c r="D122">
        <f t="shared" si="3"/>
        <v>0.35919617520749503</v>
      </c>
    </row>
    <row r="123" spans="1:4" x14ac:dyDescent="0.25">
      <c r="A123">
        <v>81000</v>
      </c>
      <c r="B123">
        <v>0.35788376120195287</v>
      </c>
      <c r="C123">
        <f t="shared" si="2"/>
        <v>22.5</v>
      </c>
      <c r="D123">
        <f t="shared" si="3"/>
        <v>0.35788376120195287</v>
      </c>
    </row>
    <row r="124" spans="1:4" x14ac:dyDescent="0.25">
      <c r="A124">
        <v>82800</v>
      </c>
      <c r="B124">
        <v>0.35660233628665955</v>
      </c>
      <c r="C124">
        <f t="shared" si="2"/>
        <v>23</v>
      </c>
      <c r="D124">
        <f t="shared" si="3"/>
        <v>0.35660233628665955</v>
      </c>
    </row>
    <row r="125" spans="1:4" x14ac:dyDescent="0.25">
      <c r="A125">
        <v>84600</v>
      </c>
      <c r="B125">
        <v>0.35535057389727726</v>
      </c>
      <c r="C125">
        <f t="shared" si="2"/>
        <v>23.5</v>
      </c>
      <c r="D125">
        <f t="shared" si="3"/>
        <v>0.35535057389727726</v>
      </c>
    </row>
    <row r="126" spans="1:4" x14ac:dyDescent="0.25">
      <c r="A126">
        <v>86400</v>
      </c>
      <c r="B126">
        <v>0.35412722462808782</v>
      </c>
      <c r="C126">
        <f t="shared" si="2"/>
        <v>24</v>
      </c>
      <c r="D126">
        <f t="shared" si="3"/>
        <v>0.35412722462808782</v>
      </c>
    </row>
    <row r="127" spans="1:4" x14ac:dyDescent="0.25">
      <c r="A127">
        <v>88200</v>
      </c>
      <c r="B127">
        <v>0.35293111219495527</v>
      </c>
      <c r="C127">
        <f t="shared" si="2"/>
        <v>24.5</v>
      </c>
      <c r="D127">
        <f t="shared" si="3"/>
        <v>0.35293111219495527</v>
      </c>
    </row>
    <row r="128" spans="1:4" x14ac:dyDescent="0.25">
      <c r="A128">
        <v>90000</v>
      </c>
      <c r="B128">
        <v>0.35176113646719198</v>
      </c>
      <c r="C128">
        <f t="shared" si="2"/>
        <v>25</v>
      </c>
      <c r="D128">
        <f t="shared" si="3"/>
        <v>0.35176113646719198</v>
      </c>
    </row>
  </sheetData>
  <mergeCells count="1">
    <mergeCell ref="B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InputSheet.Run_Click">
                <anchor moveWithCells="1" sizeWithCells="1">
                  <from>
                    <xdr:col>0</xdr:col>
                    <xdr:colOff>542925</xdr:colOff>
                    <xdr:row>1</xdr:row>
                    <xdr:rowOff>114300</xdr:rowOff>
                  </from>
                  <to>
                    <xdr:col>1</xdr:col>
                    <xdr:colOff>514350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InputSheet.Results_Click">
                <anchor moveWithCells="1" sizeWithCells="1">
                  <from>
                    <xdr:col>3</xdr:col>
                    <xdr:colOff>542925</xdr:colOff>
                    <xdr:row>1</xdr:row>
                    <xdr:rowOff>114300</xdr:rowOff>
                  </from>
                  <to>
                    <xdr:col>5</xdr:col>
                    <xdr:colOff>47625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nputSheet.Input_Click">
                <anchor moveWithCells="1" sizeWithCells="1">
                  <from>
                    <xdr:col>2</xdr:col>
                    <xdr:colOff>238125</xdr:colOff>
                    <xdr:row>1</xdr:row>
                    <xdr:rowOff>114300</xdr:rowOff>
                  </from>
                  <to>
                    <xdr:col>3</xdr:col>
                    <xdr:colOff>352425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Cherkaev</dc:creator>
  <cp:lastModifiedBy>Alexey Cherkaev</cp:lastModifiedBy>
  <dcterms:created xsi:type="dcterms:W3CDTF">2018-02-26T20:23:50Z</dcterms:created>
  <dcterms:modified xsi:type="dcterms:W3CDTF">2018-03-01T08:39:50Z</dcterms:modified>
</cp:coreProperties>
</file>