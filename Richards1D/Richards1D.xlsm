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7cd11ed475514b/Documents/PhD/Model/Richards1D/"/>
    </mc:Choice>
  </mc:AlternateContent>
  <bookViews>
    <workbookView xWindow="990" yWindow="0" windowWidth="19500" windowHeight="8115"/>
  </bookViews>
  <sheets>
    <sheet name="General" sheetId="1" r:id="rId1"/>
    <sheet name="Input" sheetId="2" r:id="rId2"/>
    <sheet name="Result" sheetId="4" r:id="rId3"/>
    <sheet name="RawResult" sheetId="3" r:id="rId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2" l="1"/>
  <c r="B16" i="2" l="1"/>
  <c r="D16" i="2" s="1"/>
  <c r="E14" i="2"/>
  <c r="D14" i="2"/>
  <c r="E13" i="2"/>
  <c r="D13" i="2"/>
  <c r="E12" i="2"/>
  <c r="D12" i="2"/>
  <c r="D11" i="2"/>
  <c r="E10" i="2"/>
  <c r="D10" i="2"/>
  <c r="E9" i="2"/>
  <c r="D9" i="2"/>
  <c r="E8" i="2"/>
  <c r="B8" i="2"/>
  <c r="D8" i="2" s="1"/>
  <c r="E7" i="2"/>
  <c r="D7" i="2"/>
  <c r="E6" i="2"/>
  <c r="D6" i="2"/>
  <c r="E5" i="2"/>
  <c r="D5" i="2"/>
  <c r="E4" i="2"/>
  <c r="D4" i="2"/>
  <c r="E3" i="2"/>
  <c r="D3" i="2"/>
  <c r="E2" i="2"/>
  <c r="D2" i="2"/>
  <c r="D15" i="2" l="1"/>
  <c r="M22" i="1" l="1"/>
  <c r="L22" i="1"/>
  <c r="K22" i="1"/>
  <c r="J22" i="1"/>
  <c r="I22" i="1"/>
  <c r="H22" i="1"/>
  <c r="G22" i="1"/>
  <c r="F22" i="1"/>
  <c r="E22" i="1"/>
  <c r="D22" i="1"/>
  <c r="C22" i="1"/>
  <c r="B22" i="1"/>
  <c r="C20" i="1"/>
  <c r="C21" i="1" s="1"/>
  <c r="B20" i="1"/>
  <c r="B21" i="1" s="1"/>
  <c r="E14" i="1"/>
  <c r="D14" i="1"/>
  <c r="C14" i="1"/>
  <c r="B14" i="1"/>
  <c r="M12" i="1"/>
  <c r="M14" i="1" s="1"/>
  <c r="L12" i="1"/>
  <c r="K12" i="1"/>
  <c r="J12" i="1"/>
  <c r="I12" i="1"/>
  <c r="H12" i="1"/>
  <c r="G12" i="1"/>
  <c r="F12" i="1"/>
  <c r="M9" i="1"/>
  <c r="L9" i="1"/>
  <c r="K9" i="1"/>
  <c r="J9" i="1"/>
  <c r="I9" i="1"/>
  <c r="H9" i="1"/>
  <c r="G9" i="1"/>
  <c r="F9" i="1"/>
  <c r="E9" i="1"/>
  <c r="D9" i="1"/>
  <c r="C9" i="1"/>
  <c r="B9" i="1"/>
  <c r="E6" i="1"/>
  <c r="E20" i="1" s="1"/>
  <c r="D6" i="1"/>
  <c r="D20" i="1" s="1"/>
  <c r="C6" i="1"/>
  <c r="B6" i="1"/>
  <c r="I5" i="1"/>
  <c r="I6" i="1" s="1"/>
  <c r="I20" i="1" s="1"/>
  <c r="H5" i="1"/>
  <c r="H6" i="1" s="1"/>
  <c r="H20" i="1" s="1"/>
  <c r="G5" i="1"/>
  <c r="G6" i="1" s="1"/>
  <c r="G20" i="1" s="1"/>
  <c r="F5" i="1"/>
  <c r="F6" i="1" s="1"/>
  <c r="F20" i="1" s="1"/>
  <c r="E3" i="1"/>
  <c r="F3" i="1" s="1"/>
  <c r="G3" i="1" s="1"/>
  <c r="H3" i="1" s="1"/>
  <c r="I3" i="1" s="1"/>
  <c r="J3" i="1" s="1"/>
  <c r="K3" i="1" s="1"/>
  <c r="L3" i="1" s="1"/>
  <c r="M3" i="1" s="1"/>
  <c r="D3" i="1"/>
  <c r="C3" i="1"/>
  <c r="G23" i="1" l="1"/>
  <c r="E23" i="1"/>
  <c r="E21" i="1"/>
  <c r="I23" i="1"/>
  <c r="D23" i="1"/>
  <c r="D21" i="1"/>
  <c r="H23" i="1"/>
  <c r="F23" i="1"/>
  <c r="J5" i="1"/>
  <c r="J6" i="1" s="1"/>
  <c r="J20" i="1" s="1"/>
  <c r="J23" i="1" s="1"/>
  <c r="F14" i="1"/>
  <c r="F17" i="1" s="1"/>
  <c r="F21" i="1" s="1"/>
  <c r="J14" i="1"/>
  <c r="J17" i="1" s="1"/>
  <c r="B23" i="1"/>
  <c r="I14" i="1"/>
  <c r="I17" i="1" s="1"/>
  <c r="I21" i="1" s="1"/>
  <c r="K5" i="1"/>
  <c r="K6" i="1" s="1"/>
  <c r="K20" i="1" s="1"/>
  <c r="K23" i="1" s="1"/>
  <c r="G14" i="1"/>
  <c r="G17" i="1" s="1"/>
  <c r="G21" i="1" s="1"/>
  <c r="K14" i="1"/>
  <c r="K17" i="1" s="1"/>
  <c r="K21" i="1" s="1"/>
  <c r="C23" i="1"/>
  <c r="M5" i="1"/>
  <c r="M6" i="1" s="1"/>
  <c r="M20" i="1" s="1"/>
  <c r="M23" i="1" s="1"/>
  <c r="L5" i="1"/>
  <c r="L6" i="1" s="1"/>
  <c r="L20" i="1" s="1"/>
  <c r="L23" i="1" s="1"/>
  <c r="H14" i="1"/>
  <c r="H17" i="1" s="1"/>
  <c r="H21" i="1" s="1"/>
  <c r="L14" i="1"/>
  <c r="J21" i="1" l="1"/>
</calcChain>
</file>

<file path=xl/sharedStrings.xml><?xml version="1.0" encoding="utf-8"?>
<sst xmlns="http://schemas.openxmlformats.org/spreadsheetml/2006/main" count="92" uniqueCount="74">
  <si>
    <t>Variable</t>
  </si>
  <si>
    <t>P11</t>
  </si>
  <si>
    <t>P12</t>
  </si>
  <si>
    <t>P13</t>
  </si>
  <si>
    <t>P14</t>
  </si>
  <si>
    <t>P21</t>
  </si>
  <si>
    <t>P22</t>
  </si>
  <si>
    <t>P23</t>
  </si>
  <si>
    <t>P24</t>
  </si>
  <si>
    <t>P31</t>
  </si>
  <si>
    <t>P32</t>
  </si>
  <si>
    <t>P33</t>
  </si>
  <si>
    <t>P34</t>
  </si>
  <si>
    <t>PSD ID</t>
  </si>
  <si>
    <t>GGS075</t>
  </si>
  <si>
    <t>GGS025</t>
  </si>
  <si>
    <t>GGS150</t>
  </si>
  <si>
    <t>GGS097</t>
  </si>
  <si>
    <t>GGS060</t>
  </si>
  <si>
    <t>GGS050</t>
  </si>
  <si>
    <t>GGS040</t>
  </si>
  <si>
    <t>GGS xmax, mm</t>
  </si>
  <si>
    <t>GGS exponent</t>
  </si>
  <si>
    <t>Col radius, cm</t>
  </si>
  <si>
    <t>Surface area, m2</t>
  </si>
  <si>
    <t>Empty weight, kg</t>
  </si>
  <si>
    <t>Weight with drainage, kg</t>
  </si>
  <si>
    <t>Weight of drainage, kg</t>
  </si>
  <si>
    <t>Total ore used, kg</t>
  </si>
  <si>
    <t>Dry ore left, kg</t>
  </si>
  <si>
    <t>Packed dry ore, kg</t>
  </si>
  <si>
    <t>Weight fully packed ,kg</t>
  </si>
  <si>
    <t>Packed moisture, kg</t>
  </si>
  <si>
    <t>Weight before flood, kg</t>
  </si>
  <si>
    <t>Flooded weight, kg</t>
  </si>
  <si>
    <t>Saturated water, kg</t>
  </si>
  <si>
    <t>Height to drainage, cm</t>
  </si>
  <si>
    <t>Slamp, cm</t>
  </si>
  <si>
    <t>Packing volume, L</t>
  </si>
  <si>
    <t>Saturated water content, -</t>
  </si>
  <si>
    <t>Height, m</t>
  </si>
  <si>
    <t>Bulk density, g/cm3</t>
  </si>
  <si>
    <t>Parameter</t>
  </si>
  <si>
    <t>Value</t>
  </si>
  <si>
    <t>Units</t>
  </si>
  <si>
    <t>SI Value</t>
  </si>
  <si>
    <t>SI Unit</t>
  </si>
  <si>
    <t>k</t>
  </si>
  <si>
    <t>m2</t>
  </si>
  <si>
    <t>ρ</t>
  </si>
  <si>
    <t>kg/m3</t>
  </si>
  <si>
    <t>μ</t>
  </si>
  <si>
    <t>Pa s</t>
  </si>
  <si>
    <t>g</t>
  </si>
  <si>
    <t>m/s2</t>
  </si>
  <si>
    <t>α</t>
  </si>
  <si>
    <t>1/m</t>
  </si>
  <si>
    <t>n</t>
  </si>
  <si>
    <t>-</t>
  </si>
  <si>
    <t>m</t>
  </si>
  <si>
    <t>ϑr</t>
  </si>
  <si>
    <t>ϑs</t>
  </si>
  <si>
    <t>V(in)</t>
  </si>
  <si>
    <t>L/m2 h</t>
  </si>
  <si>
    <t>H</t>
  </si>
  <si>
    <t>N</t>
  </si>
  <si>
    <t>s0</t>
  </si>
  <si>
    <t>t(max)</t>
  </si>
  <si>
    <t>h</t>
  </si>
  <si>
    <t>s</t>
  </si>
  <si>
    <t>M</t>
  </si>
  <si>
    <t>Unit</t>
  </si>
  <si>
    <t>No of time points</t>
  </si>
  <si>
    <t>No of space points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</si>
</sst>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7" formatCode="#,##0.0"/>
  </numFmts>
  <fonts count="5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</fills>
  <borders count="1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1" applyNumberFormat="0" applyAlignment="0" applyProtection="0"/>
    <xf numFmtId="0" fontId="3" fillId="4" borderId="2" applyNumberFormat="0" applyAlignment="0" applyProtection="0"/>
  </cellStyleXfs>
  <cellXfs count="28">
    <xf numFmtId="0" fontId="0" fillId="0" borderId="0" xfId="0"/>
    <xf numFmtId="11" fontId="0" fillId="0" borderId="0" xfId="0" applyNumberFormat="1"/>
    <xf numFmtId="2" fontId="0" fillId="0" borderId="0" xfId="0" applyNumberFormat="1"/>
    <xf numFmtId="164" fontId="0" fillId="0" borderId="0" xfId="0" applyNumberForma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1" fontId="1" fillId="2" borderId="7" xfId="1" applyNumberFormat="1" applyBorder="1"/>
    <xf numFmtId="0" fontId="0" fillId="0" borderId="0" xfId="0" applyBorder="1"/>
    <xf numFmtId="11" fontId="2" fillId="3" borderId="7" xfId="2" applyNumberFormat="1" applyBorder="1"/>
    <xf numFmtId="0" fontId="0" fillId="0" borderId="8" xfId="0" applyBorder="1"/>
    <xf numFmtId="0" fontId="4" fillId="0" borderId="6" xfId="0" applyFont="1" applyBorder="1"/>
    <xf numFmtId="0" fontId="1" fillId="2" borderId="1" xfId="1" applyBorder="1"/>
    <xf numFmtId="11" fontId="2" fillId="3" borderId="1" xfId="2" applyNumberFormat="1" applyBorder="1"/>
    <xf numFmtId="11" fontId="1" fillId="2" borderId="1" xfId="1" applyNumberFormat="1" applyBorder="1"/>
    <xf numFmtId="0" fontId="3" fillId="4" borderId="2" xfId="3" applyBorder="1"/>
    <xf numFmtId="2" fontId="1" fillId="2" borderId="1" xfId="1" applyNumberFormat="1" applyBorder="1"/>
    <xf numFmtId="2" fontId="2" fillId="3" borderId="1" xfId="2" applyNumberFormat="1" applyBorder="1"/>
    <xf numFmtId="0" fontId="4" fillId="0" borderId="9" xfId="0" applyFont="1" applyFill="1" applyBorder="1"/>
    <xf numFmtId="0" fontId="1" fillId="2" borderId="10" xfId="1" applyBorder="1"/>
    <xf numFmtId="0" fontId="0" fillId="0" borderId="11" xfId="0" applyFill="1" applyBorder="1"/>
    <xf numFmtId="0" fontId="2" fillId="3" borderId="10" xfId="2" applyBorder="1"/>
    <xf numFmtId="0" fontId="0" fillId="0" borderId="12" xfId="0" applyBorder="1"/>
    <xf numFmtId="0" fontId="1" fillId="2" borderId="1" xfId="1"/>
    <xf numFmtId="0" fontId="1" fillId="2" borderId="7" xfId="1" applyBorder="1"/>
    <xf numFmtId="0" fontId="0" fillId="0" borderId="11" xfId="0" applyBorder="1"/>
    <xf numFmtId="167" fontId="0" fillId="0" borderId="0" xfId="0" applyNumberFormat="1"/>
  </cellXfs>
  <cellStyles count="4">
    <cellStyle name="Calculation" xfId="2" builtinId="22"/>
    <cellStyle name="Check Cell" xfId="3" builtinId="23"/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 =  0.0 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RawResult!$B$3:$R$3</c:f>
              <c:numCache>
                <c:formatCode>General</c:formatCode>
                <c:ptCount val="17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31-451A-BA39-AF078749574C}"/>
            </c:ext>
          </c:extLst>
        </c:ser>
        <c:ser>
          <c:idx val="1"/>
          <c:order val="1"/>
          <c:tx>
            <c:v>t =  0.5 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RawResult!$B$5:$R$5</c:f>
              <c:numCache>
                <c:formatCode>General</c:formatCode>
                <c:ptCount val="17"/>
                <c:pt idx="0">
                  <c:v>0.12756026931187417</c:v>
                </c:pt>
                <c:pt idx="1">
                  <c:v>0.12526356510263162</c:v>
                </c:pt>
                <c:pt idx="2">
                  <c:v>0.12279010542943691</c:v>
                </c:pt>
                <c:pt idx="3">
                  <c:v>0.1201067389151889</c:v>
                </c:pt>
                <c:pt idx="4">
                  <c:v>0.11716951299037745</c:v>
                </c:pt>
                <c:pt idx="5">
                  <c:v>0.11391829447703203</c:v>
                </c:pt>
                <c:pt idx="6">
                  <c:v>0.11026750289390896</c:v>
                </c:pt>
                <c:pt idx="7">
                  <c:v>0.10608876219106002</c:v>
                </c:pt>
                <c:pt idx="8">
                  <c:v>0.10117401064671684</c:v>
                </c:pt>
                <c:pt idx="9">
                  <c:v>9.5157899415862904E-2</c:v>
                </c:pt>
                <c:pt idx="10">
                  <c:v>8.7261697719354839E-2</c:v>
                </c:pt>
                <c:pt idx="11">
                  <c:v>7.5197057150041727E-2</c:v>
                </c:pt>
                <c:pt idx="12">
                  <c:v>4.1473342924758523E-2</c:v>
                </c:pt>
                <c:pt idx="13">
                  <c:v>1.041665392400359E-2</c:v>
                </c:pt>
                <c:pt idx="14">
                  <c:v>1.0000011261887235E-2</c:v>
                </c:pt>
                <c:pt idx="15">
                  <c:v>1.0000000000269273E-2</c:v>
                </c:pt>
                <c:pt idx="16">
                  <c:v>1.0000000000000005E-2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BA31-451A-BA39-AF078749574C}"/>
            </c:ext>
          </c:extLst>
        </c:ser>
        <c:ser>
          <c:idx val="2"/>
          <c:order val="2"/>
          <c:tx>
            <c:v>t =  1.1 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RawResult!$B$7:$R$7</c:f>
              <c:numCache>
                <c:formatCode>General</c:formatCode>
                <c:ptCount val="17"/>
                <c:pt idx="0">
                  <c:v>0.14329899537295793</c:v>
                </c:pt>
                <c:pt idx="1">
                  <c:v>0.14203225298883029</c:v>
                </c:pt>
                <c:pt idx="2">
                  <c:v>0.14074484078432217</c:v>
                </c:pt>
                <c:pt idx="3">
                  <c:v>0.13943800638568032</c:v>
                </c:pt>
                <c:pt idx="4">
                  <c:v>0.13811367234076011</c:v>
                </c:pt>
                <c:pt idx="5">
                  <c:v>0.1367746234885121</c:v>
                </c:pt>
                <c:pt idx="6">
                  <c:v>0.13542473547610198</c:v>
                </c:pt>
                <c:pt idx="7">
                  <c:v>0.1340692436615519</c:v>
                </c:pt>
                <c:pt idx="8">
                  <c:v>0.13271505778320117</c:v>
                </c:pt>
                <c:pt idx="9">
                  <c:v>0.13137110794375492</c:v>
                </c:pt>
                <c:pt idx="10">
                  <c:v>0.13004870525091675</c:v>
                </c:pt>
                <c:pt idx="11">
                  <c:v>0.12876188473580097</c:v>
                </c:pt>
                <c:pt idx="12">
                  <c:v>0.12752766142244526</c:v>
                </c:pt>
                <c:pt idx="13">
                  <c:v>0.12636615465473056</c:v>
                </c:pt>
                <c:pt idx="14">
                  <c:v>0.12530046669969946</c:v>
                </c:pt>
                <c:pt idx="15">
                  <c:v>0.12435616031957161</c:v>
                </c:pt>
                <c:pt idx="16">
                  <c:v>0.12355976916383336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BA31-451A-BA39-AF078749574C}"/>
            </c:ext>
          </c:extLst>
        </c:ser>
        <c:ser>
          <c:idx val="3"/>
          <c:order val="3"/>
          <c:tx>
            <c:v>t =  1.6 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RawResult!$B$9:$R$9</c:f>
              <c:numCache>
                <c:formatCode>General</c:formatCode>
                <c:ptCount val="17"/>
                <c:pt idx="0">
                  <c:v>0.19346281319170111</c:v>
                </c:pt>
                <c:pt idx="1">
                  <c:v>0.19318589923402513</c:v>
                </c:pt>
                <c:pt idx="2">
                  <c:v>0.19292100759331512</c:v>
                </c:pt>
                <c:pt idx="3">
                  <c:v>0.19266850676272992</c:v>
                </c:pt>
                <c:pt idx="4">
                  <c:v>0.19242875651215119</c:v>
                </c:pt>
                <c:pt idx="5">
                  <c:v>0.19220210649320232</c:v>
                </c:pt>
                <c:pt idx="6">
                  <c:v>0.1919888927060304</c:v>
                </c:pt>
                <c:pt idx="7">
                  <c:v>0.19178944071156612</c:v>
                </c:pt>
                <c:pt idx="8">
                  <c:v>0.19160406397104005</c:v>
                </c:pt>
                <c:pt idx="9">
                  <c:v>0.19143307005600482</c:v>
                </c:pt>
                <c:pt idx="10">
                  <c:v>0.19127675694896953</c:v>
                </c:pt>
                <c:pt idx="11">
                  <c:v>0.19113540358446596</c:v>
                </c:pt>
                <c:pt idx="12">
                  <c:v>0.19100924583370318</c:v>
                </c:pt>
                <c:pt idx="13">
                  <c:v>0.19089841246988346</c:v>
                </c:pt>
                <c:pt idx="14">
                  <c:v>0.19080288327592387</c:v>
                </c:pt>
                <c:pt idx="15">
                  <c:v>0.19072256412376973</c:v>
                </c:pt>
                <c:pt idx="16">
                  <c:v>0.19065760139834581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BA31-451A-BA39-AF078749574C}"/>
            </c:ext>
          </c:extLst>
        </c:ser>
        <c:ser>
          <c:idx val="4"/>
          <c:order val="4"/>
          <c:tx>
            <c:v>t =  2.4 h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RawResult!$B$12:$R$12</c:f>
              <c:numCache>
                <c:formatCode>General</c:formatCode>
                <c:ptCount val="17"/>
                <c:pt idx="0">
                  <c:v>0.26417335432618577</c:v>
                </c:pt>
                <c:pt idx="1">
                  <c:v>0.26414307787639002</c:v>
                </c:pt>
                <c:pt idx="2">
                  <c:v>0.26411387987943091</c:v>
                </c:pt>
                <c:pt idx="3">
                  <c:v>0.26408573836034605</c:v>
                </c:pt>
                <c:pt idx="4">
                  <c:v>0.26405864089000031</c:v>
                </c:pt>
                <c:pt idx="5">
                  <c:v>0.26403259361998305</c:v>
                </c:pt>
                <c:pt idx="6">
                  <c:v>0.26400760793509331</c:v>
                </c:pt>
                <c:pt idx="7">
                  <c:v>0.26398372596967584</c:v>
                </c:pt>
                <c:pt idx="8">
                  <c:v>0.26396097166211224</c:v>
                </c:pt>
                <c:pt idx="9">
                  <c:v>0.26393937215518615</c:v>
                </c:pt>
                <c:pt idx="10">
                  <c:v>0.26391892540090528</c:v>
                </c:pt>
                <c:pt idx="11">
                  <c:v>0.2638996628806568</c:v>
                </c:pt>
                <c:pt idx="12">
                  <c:v>0.26388171774654545</c:v>
                </c:pt>
                <c:pt idx="13">
                  <c:v>0.26386553190658324</c:v>
                </c:pt>
                <c:pt idx="14">
                  <c:v>0.26385191412783637</c:v>
                </c:pt>
                <c:pt idx="15">
                  <c:v>0.26384191832446291</c:v>
                </c:pt>
                <c:pt idx="16">
                  <c:v>0.2638357401185315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BA31-451A-BA39-AF078749574C}"/>
            </c:ext>
          </c:extLst>
        </c:ser>
        <c:ser>
          <c:idx val="5"/>
          <c:order val="5"/>
          <c:tx>
            <c:v>t =  2.9 h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RawResult!$B$14:$R$14</c:f>
              <c:numCache>
                <c:formatCode>General</c:formatCode>
                <c:ptCount val="17"/>
                <c:pt idx="0">
                  <c:v>0.28020259489006472</c:v>
                </c:pt>
                <c:pt idx="1">
                  <c:v>0.28019754952492898</c:v>
                </c:pt>
                <c:pt idx="2">
                  <c:v>0.28019297742046095</c:v>
                </c:pt>
                <c:pt idx="3">
                  <c:v>0.28018888209865578</c:v>
                </c:pt>
                <c:pt idx="4">
                  <c:v>0.28018525966475871</c:v>
                </c:pt>
                <c:pt idx="5">
                  <c:v>0.28018210255673476</c:v>
                </c:pt>
                <c:pt idx="6">
                  <c:v>0.28017939757125865</c:v>
                </c:pt>
                <c:pt idx="7">
                  <c:v>0.28017712167754533</c:v>
                </c:pt>
                <c:pt idx="8">
                  <c:v>0.28017524545169098</c:v>
                </c:pt>
                <c:pt idx="9">
                  <c:v>0.28017372180612288</c:v>
                </c:pt>
                <c:pt idx="10">
                  <c:v>0.28017249505511033</c:v>
                </c:pt>
                <c:pt idx="11">
                  <c:v>0.28017150204817798</c:v>
                </c:pt>
                <c:pt idx="12">
                  <c:v>0.28017068327766892</c:v>
                </c:pt>
                <c:pt idx="13">
                  <c:v>0.28017004148224439</c:v>
                </c:pt>
                <c:pt idx="14">
                  <c:v>0.28016967813747734</c:v>
                </c:pt>
                <c:pt idx="15">
                  <c:v>0.28016974058237104</c:v>
                </c:pt>
                <c:pt idx="16">
                  <c:v>0.28017019580328761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BA31-451A-BA39-AF078749574C}"/>
            </c:ext>
          </c:extLst>
        </c:ser>
        <c:ser>
          <c:idx val="6"/>
          <c:order val="6"/>
          <c:tx>
            <c:v>t =  3.5 h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RawResult!$B$16:$R$16</c:f>
              <c:numCache>
                <c:formatCode>General</c:formatCode>
                <c:ptCount val="17"/>
                <c:pt idx="0">
                  <c:v>0.28259106571829901</c:v>
                </c:pt>
                <c:pt idx="1">
                  <c:v>0.28259097052297172</c:v>
                </c:pt>
                <c:pt idx="2">
                  <c:v>0.28259086478763323</c:v>
                </c:pt>
                <c:pt idx="3">
                  <c:v>0.28259073892898223</c:v>
                </c:pt>
                <c:pt idx="4">
                  <c:v>0.28259058281839483</c:v>
                </c:pt>
                <c:pt idx="5">
                  <c:v>0.28259038986736507</c:v>
                </c:pt>
                <c:pt idx="6">
                  <c:v>0.28259015297034229</c:v>
                </c:pt>
                <c:pt idx="7">
                  <c:v>0.28258986906616573</c:v>
                </c:pt>
                <c:pt idx="8">
                  <c:v>0.28258952972719081</c:v>
                </c:pt>
                <c:pt idx="9">
                  <c:v>0.28258912188384366</c:v>
                </c:pt>
                <c:pt idx="10">
                  <c:v>0.28258862456571726</c:v>
                </c:pt>
                <c:pt idx="11">
                  <c:v>0.2825880228254235</c:v>
                </c:pt>
                <c:pt idx="12">
                  <c:v>0.282587324406116</c:v>
                </c:pt>
                <c:pt idx="13">
                  <c:v>0.28258662548524799</c:v>
                </c:pt>
                <c:pt idx="14">
                  <c:v>0.28258613212975858</c:v>
                </c:pt>
                <c:pt idx="15">
                  <c:v>0.28258611936676598</c:v>
                </c:pt>
                <c:pt idx="16">
                  <c:v>0.28258662061154971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BA31-451A-BA39-AF078749574C}"/>
            </c:ext>
          </c:extLst>
        </c:ser>
        <c:ser>
          <c:idx val="7"/>
          <c:order val="7"/>
          <c:tx>
            <c:v>t =  4.0 h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RawResult!$B$2:$U$2</c:f>
              <c:numCache>
                <c:formatCode>General</c:formatCode>
                <c:ptCount val="20"/>
                <c:pt idx="0">
                  <c:v>6.2500000000000003E-3</c:v>
                </c:pt>
                <c:pt idx="1">
                  <c:v>1.8749999999999999E-2</c:v>
                </c:pt>
                <c:pt idx="2">
                  <c:v>3.125E-2</c:v>
                </c:pt>
                <c:pt idx="3">
                  <c:v>4.3749999999999997E-2</c:v>
                </c:pt>
                <c:pt idx="4">
                  <c:v>5.6249999999999994E-2</c:v>
                </c:pt>
                <c:pt idx="5">
                  <c:v>6.8750000000000006E-2</c:v>
                </c:pt>
                <c:pt idx="6">
                  <c:v>8.1250000000000003E-2</c:v>
                </c:pt>
                <c:pt idx="7">
                  <c:v>9.375E-2</c:v>
                </c:pt>
                <c:pt idx="8">
                  <c:v>0.10625</c:v>
                </c:pt>
                <c:pt idx="9">
                  <c:v>0.11874999999999999</c:v>
                </c:pt>
                <c:pt idx="10">
                  <c:v>0.13125000000000001</c:v>
                </c:pt>
                <c:pt idx="11">
                  <c:v>0.14374999999999999</c:v>
                </c:pt>
                <c:pt idx="12">
                  <c:v>0.15625</c:v>
                </c:pt>
                <c:pt idx="13">
                  <c:v>0.16875000000000001</c:v>
                </c:pt>
                <c:pt idx="14">
                  <c:v>0.18124999999999999</c:v>
                </c:pt>
                <c:pt idx="15">
                  <c:v>0.19375000000000001</c:v>
                </c:pt>
                <c:pt idx="16">
                  <c:v>0.20624999999999999</c:v>
                </c:pt>
                <c:pt idx="17">
                  <c:v>0.21875</c:v>
                </c:pt>
                <c:pt idx="18">
                  <c:v>0.23124999999999998</c:v>
                </c:pt>
                <c:pt idx="19">
                  <c:v>0.24374999999999999</c:v>
                </c:pt>
              </c:numCache>
            </c:numRef>
          </c:xVal>
          <c:yVal>
            <c:numRef>
              <c:f>RawResult!$B$18:$R$18</c:f>
              <c:numCache>
                <c:formatCode>General</c:formatCode>
                <c:ptCount val="17"/>
                <c:pt idx="0">
                  <c:v>0.282943722918929</c:v>
                </c:pt>
                <c:pt idx="1">
                  <c:v>0.28294366376885144</c:v>
                </c:pt>
                <c:pt idx="2">
                  <c:v>0.28294363056958749</c:v>
                </c:pt>
                <c:pt idx="3">
                  <c:v>0.28294362423490743</c:v>
                </c:pt>
                <c:pt idx="4">
                  <c:v>0.28294364540069122</c:v>
                </c:pt>
                <c:pt idx="5">
                  <c:v>0.28294369343429576</c:v>
                </c:pt>
                <c:pt idx="6">
                  <c:v>0.28294376750886036</c:v>
                </c:pt>
                <c:pt idx="7">
                  <c:v>0.28294386515530473</c:v>
                </c:pt>
                <c:pt idx="8">
                  <c:v>0.28294398356310596</c:v>
                </c:pt>
                <c:pt idx="9">
                  <c:v>0.28294411831632044</c:v>
                </c:pt>
                <c:pt idx="10">
                  <c:v>0.28294426366023739</c:v>
                </c:pt>
                <c:pt idx="11">
                  <c:v>0.28294441206883481</c:v>
                </c:pt>
                <c:pt idx="12">
                  <c:v>0.28294455722413148</c:v>
                </c:pt>
                <c:pt idx="13">
                  <c:v>0.28294469615947349</c:v>
                </c:pt>
                <c:pt idx="14">
                  <c:v>0.28294483649767688</c:v>
                </c:pt>
                <c:pt idx="15">
                  <c:v>0.28294498880616686</c:v>
                </c:pt>
                <c:pt idx="16">
                  <c:v>0.28294514806021476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BA31-451A-BA39-AF07874957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379776"/>
        <c:axId val="688374200"/>
      </c:scatterChart>
      <c:valAx>
        <c:axId val="68837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Depth, 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4200"/>
        <c:crosses val="autoZero"/>
        <c:crossBetween val="midCat"/>
      </c:valAx>
      <c:valAx>
        <c:axId val="68837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Saturation, 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9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x =  0.0 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RawResult!$A$3:$A$18</c:f>
              <c:numCache>
                <c:formatCode>General</c:formatCode>
                <c:ptCount val="16"/>
                <c:pt idx="0">
                  <c:v>0</c:v>
                </c:pt>
                <c:pt idx="1">
                  <c:v>0.26666666666666666</c:v>
                </c:pt>
                <c:pt idx="2">
                  <c:v>0.53333333333333333</c:v>
                </c:pt>
                <c:pt idx="3">
                  <c:v>0.8</c:v>
                </c:pt>
                <c:pt idx="4">
                  <c:v>1.0666666666666667</c:v>
                </c:pt>
                <c:pt idx="5">
                  <c:v>1.3333333333333333</c:v>
                </c:pt>
                <c:pt idx="6">
                  <c:v>1.6</c:v>
                </c:pt>
                <c:pt idx="7">
                  <c:v>1.8666666666666667</c:v>
                </c:pt>
                <c:pt idx="8">
                  <c:v>2.1333333333333333</c:v>
                </c:pt>
                <c:pt idx="9">
                  <c:v>2.4</c:v>
                </c:pt>
                <c:pt idx="10">
                  <c:v>2.6666666666666665</c:v>
                </c:pt>
                <c:pt idx="11">
                  <c:v>2.9333333333333331</c:v>
                </c:pt>
                <c:pt idx="12">
                  <c:v>3.2</c:v>
                </c:pt>
                <c:pt idx="13">
                  <c:v>3.4666666666666668</c:v>
                </c:pt>
                <c:pt idx="14">
                  <c:v>3.7333333333333334</c:v>
                </c:pt>
                <c:pt idx="15">
                  <c:v>4</c:v>
                </c:pt>
              </c:numCache>
            </c:numRef>
          </c:xVal>
          <c:yVal>
            <c:numRef>
              <c:f>RawResult!$B$3:$B$18</c:f>
              <c:numCache>
                <c:formatCode>General</c:formatCode>
                <c:ptCount val="16"/>
                <c:pt idx="0">
                  <c:v>0.01</c:v>
                </c:pt>
                <c:pt idx="1">
                  <c:v>0.11441145060850352</c:v>
                </c:pt>
                <c:pt idx="2">
                  <c:v>0.12756026931187417</c:v>
                </c:pt>
                <c:pt idx="3">
                  <c:v>0.13566936610596764</c:v>
                </c:pt>
                <c:pt idx="4">
                  <c:v>0.14329899537295793</c:v>
                </c:pt>
                <c:pt idx="5">
                  <c:v>0.16595487915794796</c:v>
                </c:pt>
                <c:pt idx="6">
                  <c:v>0.19346281319170111</c:v>
                </c:pt>
                <c:pt idx="7">
                  <c:v>0.22106146423582379</c:v>
                </c:pt>
                <c:pt idx="8">
                  <c:v>0.24569944466198373</c:v>
                </c:pt>
                <c:pt idx="9">
                  <c:v>0.26417335432618577</c:v>
                </c:pt>
                <c:pt idx="10">
                  <c:v>0.27509159425810481</c:v>
                </c:pt>
                <c:pt idx="11">
                  <c:v>0.28020259489006472</c:v>
                </c:pt>
                <c:pt idx="12">
                  <c:v>0.28200061007495175</c:v>
                </c:pt>
                <c:pt idx="13">
                  <c:v>0.28259106571829901</c:v>
                </c:pt>
                <c:pt idx="14">
                  <c:v>0.28281385363994582</c:v>
                </c:pt>
                <c:pt idx="15">
                  <c:v>0.282943722918929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F7-4428-8346-817C0481232D}"/>
            </c:ext>
          </c:extLst>
        </c:ser>
        <c:ser>
          <c:idx val="1"/>
          <c:order val="1"/>
          <c:tx>
            <c:v>x =  0.1 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RawResult!$A$3:$A$18</c:f>
              <c:numCache>
                <c:formatCode>General</c:formatCode>
                <c:ptCount val="16"/>
                <c:pt idx="0">
                  <c:v>0</c:v>
                </c:pt>
                <c:pt idx="1">
                  <c:v>0.26666666666666666</c:v>
                </c:pt>
                <c:pt idx="2">
                  <c:v>0.53333333333333333</c:v>
                </c:pt>
                <c:pt idx="3">
                  <c:v>0.8</c:v>
                </c:pt>
                <c:pt idx="4">
                  <c:v>1.0666666666666667</c:v>
                </c:pt>
                <c:pt idx="5">
                  <c:v>1.3333333333333333</c:v>
                </c:pt>
                <c:pt idx="6">
                  <c:v>1.6</c:v>
                </c:pt>
                <c:pt idx="7">
                  <c:v>1.8666666666666667</c:v>
                </c:pt>
                <c:pt idx="8">
                  <c:v>2.1333333333333333</c:v>
                </c:pt>
                <c:pt idx="9">
                  <c:v>2.4</c:v>
                </c:pt>
                <c:pt idx="10">
                  <c:v>2.6666666666666665</c:v>
                </c:pt>
                <c:pt idx="11">
                  <c:v>2.9333333333333331</c:v>
                </c:pt>
                <c:pt idx="12">
                  <c:v>3.2</c:v>
                </c:pt>
                <c:pt idx="13">
                  <c:v>3.4666666666666668</c:v>
                </c:pt>
                <c:pt idx="14">
                  <c:v>3.7333333333333334</c:v>
                </c:pt>
                <c:pt idx="15">
                  <c:v>4</c:v>
                </c:pt>
              </c:numCache>
            </c:numRef>
          </c:xVal>
          <c:yVal>
            <c:numRef>
              <c:f>RawResult!$G$3:$G$18</c:f>
              <c:numCache>
                <c:formatCode>General</c:formatCode>
                <c:ptCount val="16"/>
                <c:pt idx="0">
                  <c:v>0.01</c:v>
                </c:pt>
                <c:pt idx="1">
                  <c:v>8.2913128286902366E-2</c:v>
                </c:pt>
                <c:pt idx="2">
                  <c:v>0.11391829447703203</c:v>
                </c:pt>
                <c:pt idx="3">
                  <c:v>0.12622602459649634</c:v>
                </c:pt>
                <c:pt idx="4">
                  <c:v>0.1367746234885121</c:v>
                </c:pt>
                <c:pt idx="5">
                  <c:v>0.16314700523172884</c:v>
                </c:pt>
                <c:pt idx="6">
                  <c:v>0.19220210649320232</c:v>
                </c:pt>
                <c:pt idx="7">
                  <c:v>0.22047355970560503</c:v>
                </c:pt>
                <c:pt idx="8">
                  <c:v>0.24541277516437779</c:v>
                </c:pt>
                <c:pt idx="9">
                  <c:v>0.26403259361998305</c:v>
                </c:pt>
                <c:pt idx="10">
                  <c:v>0.27504925303471284</c:v>
                </c:pt>
                <c:pt idx="11">
                  <c:v>0.28018210255673476</c:v>
                </c:pt>
                <c:pt idx="12">
                  <c:v>0.28198873553332765</c:v>
                </c:pt>
                <c:pt idx="13">
                  <c:v>0.28259038986736507</c:v>
                </c:pt>
                <c:pt idx="14">
                  <c:v>0.28281451882801323</c:v>
                </c:pt>
                <c:pt idx="15">
                  <c:v>0.28294369343429576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7F7-4428-8346-817C0481232D}"/>
            </c:ext>
          </c:extLst>
        </c:ser>
        <c:ser>
          <c:idx val="2"/>
          <c:order val="2"/>
          <c:tx>
            <c:v>x =  0.1 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RawResult!$A$3:$A$18</c:f>
              <c:numCache>
                <c:formatCode>General</c:formatCode>
                <c:ptCount val="16"/>
                <c:pt idx="0">
                  <c:v>0</c:v>
                </c:pt>
                <c:pt idx="1">
                  <c:v>0.26666666666666666</c:v>
                </c:pt>
                <c:pt idx="2">
                  <c:v>0.53333333333333333</c:v>
                </c:pt>
                <c:pt idx="3">
                  <c:v>0.8</c:v>
                </c:pt>
                <c:pt idx="4">
                  <c:v>1.0666666666666667</c:v>
                </c:pt>
                <c:pt idx="5">
                  <c:v>1.3333333333333333</c:v>
                </c:pt>
                <c:pt idx="6">
                  <c:v>1.6</c:v>
                </c:pt>
                <c:pt idx="7">
                  <c:v>1.8666666666666667</c:v>
                </c:pt>
                <c:pt idx="8">
                  <c:v>2.1333333333333333</c:v>
                </c:pt>
                <c:pt idx="9">
                  <c:v>2.4</c:v>
                </c:pt>
                <c:pt idx="10">
                  <c:v>2.6666666666666665</c:v>
                </c:pt>
                <c:pt idx="11">
                  <c:v>2.9333333333333331</c:v>
                </c:pt>
                <c:pt idx="12">
                  <c:v>3.2</c:v>
                </c:pt>
                <c:pt idx="13">
                  <c:v>3.4666666666666668</c:v>
                </c:pt>
                <c:pt idx="14">
                  <c:v>3.7333333333333334</c:v>
                </c:pt>
                <c:pt idx="15">
                  <c:v>4</c:v>
                </c:pt>
              </c:numCache>
            </c:numRef>
          </c:xVal>
          <c:yVal>
            <c:numRef>
              <c:f>RawResult!$L$3:$L$18</c:f>
              <c:numCache>
                <c:formatCode>General</c:formatCode>
                <c:ptCount val="16"/>
                <c:pt idx="0">
                  <c:v>0.01</c:v>
                </c:pt>
                <c:pt idx="1">
                  <c:v>1.000000000000047E-2</c:v>
                </c:pt>
                <c:pt idx="2">
                  <c:v>8.7261697719354839E-2</c:v>
                </c:pt>
                <c:pt idx="3">
                  <c:v>0.11284641785136719</c:v>
                </c:pt>
                <c:pt idx="4">
                  <c:v>0.13004870525091675</c:v>
                </c:pt>
                <c:pt idx="5">
                  <c:v>0.16095020025277909</c:v>
                </c:pt>
                <c:pt idx="6">
                  <c:v>0.19127675694896953</c:v>
                </c:pt>
                <c:pt idx="7">
                  <c:v>0.22005702230730545</c:v>
                </c:pt>
                <c:pt idx="8">
                  <c:v>0.2452122851948586</c:v>
                </c:pt>
                <c:pt idx="9">
                  <c:v>0.26391892540090528</c:v>
                </c:pt>
                <c:pt idx="10">
                  <c:v>0.2750213831288188</c:v>
                </c:pt>
                <c:pt idx="11">
                  <c:v>0.28017249505511033</c:v>
                </c:pt>
                <c:pt idx="12">
                  <c:v>0.28197789520076716</c:v>
                </c:pt>
                <c:pt idx="13">
                  <c:v>0.28258862456571726</c:v>
                </c:pt>
                <c:pt idx="14">
                  <c:v>0.28281653169020149</c:v>
                </c:pt>
                <c:pt idx="15">
                  <c:v>0.28294426366023739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17F7-4428-8346-817C0481232D}"/>
            </c:ext>
          </c:extLst>
        </c:ser>
        <c:ser>
          <c:idx val="3"/>
          <c:order val="3"/>
          <c:tx>
            <c:v>x =  0.2 m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RawResult!$A$3:$A$18</c:f>
              <c:numCache>
                <c:formatCode>General</c:formatCode>
                <c:ptCount val="16"/>
                <c:pt idx="0">
                  <c:v>0</c:v>
                </c:pt>
                <c:pt idx="1">
                  <c:v>0.26666666666666666</c:v>
                </c:pt>
                <c:pt idx="2">
                  <c:v>0.53333333333333333</c:v>
                </c:pt>
                <c:pt idx="3">
                  <c:v>0.8</c:v>
                </c:pt>
                <c:pt idx="4">
                  <c:v>1.0666666666666667</c:v>
                </c:pt>
                <c:pt idx="5">
                  <c:v>1.3333333333333333</c:v>
                </c:pt>
                <c:pt idx="6">
                  <c:v>1.6</c:v>
                </c:pt>
                <c:pt idx="7">
                  <c:v>1.8666666666666667</c:v>
                </c:pt>
                <c:pt idx="8">
                  <c:v>2.1333333333333333</c:v>
                </c:pt>
                <c:pt idx="9">
                  <c:v>2.4</c:v>
                </c:pt>
                <c:pt idx="10">
                  <c:v>2.6666666666666665</c:v>
                </c:pt>
                <c:pt idx="11">
                  <c:v>2.9333333333333331</c:v>
                </c:pt>
                <c:pt idx="12">
                  <c:v>3.2</c:v>
                </c:pt>
                <c:pt idx="13">
                  <c:v>3.4666666666666668</c:v>
                </c:pt>
                <c:pt idx="14">
                  <c:v>3.7333333333333334</c:v>
                </c:pt>
                <c:pt idx="15">
                  <c:v>4</c:v>
                </c:pt>
              </c:numCache>
            </c:numRef>
          </c:xVal>
          <c:yVal>
            <c:numRef>
              <c:f>RawResult!$P$3:$P$18</c:f>
              <c:numCache>
                <c:formatCode>General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1.0000011261887235E-2</c:v>
                </c:pt>
                <c:pt idx="3">
                  <c:v>9.4684802734054649E-2</c:v>
                </c:pt>
                <c:pt idx="4">
                  <c:v>0.12530046669969946</c:v>
                </c:pt>
                <c:pt idx="5">
                  <c:v>0.15977487715380315</c:v>
                </c:pt>
                <c:pt idx="6">
                  <c:v>0.19080288327592387</c:v>
                </c:pt>
                <c:pt idx="7">
                  <c:v>0.21984189840369961</c:v>
                </c:pt>
                <c:pt idx="8">
                  <c:v>0.24511526026239419</c:v>
                </c:pt>
                <c:pt idx="9">
                  <c:v>0.26385191412783637</c:v>
                </c:pt>
                <c:pt idx="10">
                  <c:v>0.27500349311866606</c:v>
                </c:pt>
                <c:pt idx="11">
                  <c:v>0.28016967813747734</c:v>
                </c:pt>
                <c:pt idx="12">
                  <c:v>0.28197233719650217</c:v>
                </c:pt>
                <c:pt idx="13">
                  <c:v>0.28258613212975858</c:v>
                </c:pt>
                <c:pt idx="14">
                  <c:v>0.28281763971406282</c:v>
                </c:pt>
                <c:pt idx="15">
                  <c:v>0.28294483649767688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17F7-4428-8346-817C0481232D}"/>
            </c:ext>
          </c:extLst>
        </c:ser>
        <c:ser>
          <c:idx val="4"/>
          <c:order val="4"/>
          <c:tx>
            <c:v>x =  0.2 m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RawResult!$A$3:$A$18</c:f>
              <c:numCache>
                <c:formatCode>General</c:formatCode>
                <c:ptCount val="16"/>
                <c:pt idx="0">
                  <c:v>0</c:v>
                </c:pt>
                <c:pt idx="1">
                  <c:v>0.26666666666666666</c:v>
                </c:pt>
                <c:pt idx="2">
                  <c:v>0.53333333333333333</c:v>
                </c:pt>
                <c:pt idx="3">
                  <c:v>0.8</c:v>
                </c:pt>
                <c:pt idx="4">
                  <c:v>1.0666666666666667</c:v>
                </c:pt>
                <c:pt idx="5">
                  <c:v>1.3333333333333333</c:v>
                </c:pt>
                <c:pt idx="6">
                  <c:v>1.6</c:v>
                </c:pt>
                <c:pt idx="7">
                  <c:v>1.8666666666666667</c:v>
                </c:pt>
                <c:pt idx="8">
                  <c:v>2.1333333333333333</c:v>
                </c:pt>
                <c:pt idx="9">
                  <c:v>2.4</c:v>
                </c:pt>
                <c:pt idx="10">
                  <c:v>2.6666666666666665</c:v>
                </c:pt>
                <c:pt idx="11">
                  <c:v>2.9333333333333331</c:v>
                </c:pt>
                <c:pt idx="12">
                  <c:v>3.2</c:v>
                </c:pt>
                <c:pt idx="13">
                  <c:v>3.4666666666666668</c:v>
                </c:pt>
                <c:pt idx="14">
                  <c:v>3.7333333333333334</c:v>
                </c:pt>
                <c:pt idx="15">
                  <c:v>4</c:v>
                </c:pt>
              </c:numCache>
            </c:numRef>
          </c:xVal>
          <c:yVal>
            <c:numRef>
              <c:f>RawResult!$U$3:$U$18</c:f>
              <c:numCache>
                <c:formatCode>General</c:formatCode>
                <c:ptCount val="16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1.0000039609669784E-2</c:v>
                </c:pt>
                <c:pt idx="4">
                  <c:v>0.12227855397645283</c:v>
                </c:pt>
                <c:pt idx="5">
                  <c:v>0.15913595263987676</c:v>
                </c:pt>
                <c:pt idx="6">
                  <c:v>0.19055255527565201</c:v>
                </c:pt>
                <c:pt idx="7">
                  <c:v>0.21977451471241316</c:v>
                </c:pt>
                <c:pt idx="8">
                  <c:v>0.24506136555628139</c:v>
                </c:pt>
                <c:pt idx="9">
                  <c:v>0.26380095454918945</c:v>
                </c:pt>
                <c:pt idx="10">
                  <c:v>0.27502182808731379</c:v>
                </c:pt>
                <c:pt idx="11">
                  <c:v>0.28018268219113379</c:v>
                </c:pt>
                <c:pt idx="12">
                  <c:v>0.28195904270078509</c:v>
                </c:pt>
                <c:pt idx="13">
                  <c:v>0.28258543430449162</c:v>
                </c:pt>
                <c:pt idx="14">
                  <c:v>0.28282492301156981</c:v>
                </c:pt>
                <c:pt idx="15">
                  <c:v>0.28294677438747556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7F7-4428-8346-817C048123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8379776"/>
        <c:axId val="688374200"/>
      </c:scatterChart>
      <c:valAx>
        <c:axId val="688379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Time,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4200"/>
        <c:crosses val="autoZero"/>
        <c:crossBetween val="midCat"/>
      </c:valAx>
      <c:valAx>
        <c:axId val="688374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ZA"/>
                  <a:t>Saturation, -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83797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28575</xdr:colOff>
      <xdr:row>1</xdr:row>
      <xdr:rowOff>9525</xdr:rowOff>
    </xdr:from>
    <xdr:to>
      <xdr:col>15</xdr:col>
      <xdr:colOff>609599</xdr:colOff>
      <xdr:row>16</xdr:row>
      <xdr:rowOff>142875</xdr:rowOff>
    </xdr:to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4E19D37-A8CA-4552-AC6F-78A1DC8BCA87}"/>
                </a:ext>
              </a:extLst>
            </xdr:cNvPr>
            <xdr:cNvSpPr txBox="1"/>
          </xdr:nvSpPr>
          <xdr:spPr>
            <a:xfrm>
              <a:off x="5191125" y="200025"/>
              <a:ext cx="4238624" cy="3028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600" b="1" u="none"/>
                <a:t>Nomenclature</a:t>
              </a:r>
            </a:p>
            <a:p>
              <a:endParaRPr lang="en-ZA" sz="1100" baseline="0"/>
            </a:p>
            <a:p>
              <a:r>
                <a:rPr lang="en-ZA" sz="1100" baseline="0"/>
                <a:t>k	Intrinsic permeability ≈ 10</a:t>
              </a:r>
              <a:r>
                <a:rPr lang="en-ZA" sz="1100" baseline="30000"/>
                <a:t>-11</a:t>
              </a:r>
              <a:r>
                <a:rPr lang="en-ZA" sz="1100" baseline="0"/>
                <a:t> - 10</a:t>
              </a:r>
              <a:r>
                <a:rPr lang="en-ZA" sz="1100" baseline="30000"/>
                <a:t>-9</a:t>
              </a:r>
              <a:r>
                <a:rPr lang="en-ZA" sz="1100" baseline="0"/>
                <a:t> m</a:t>
              </a:r>
              <a:r>
                <a:rPr lang="en-ZA" sz="1100" baseline="30000"/>
                <a:t>2</a:t>
              </a:r>
              <a:endParaRPr lang="en-ZA" sz="1100" baseline="0"/>
            </a:p>
            <a:p>
              <a:r>
                <a:rPr lang="en-ZA" sz="1100" baseline="0"/>
                <a:t>ρ	Liquid density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1000 kg/m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3</a:t>
              </a:r>
              <a:r>
                <a:rPr lang="en-ZA" sz="1100" baseline="0"/>
                <a:t> </a:t>
              </a:r>
            </a:p>
            <a:p>
              <a:r>
                <a:rPr lang="el-GR" sz="1100" baseline="0"/>
                <a:t>μ</a:t>
              </a:r>
              <a:r>
                <a:rPr lang="en-ZA" sz="1100" baseline="0"/>
                <a:t>	Dynamic liquid viscosity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</a:t>
              </a:r>
              <a14:m>
                <m:oMath xmlns:m="http://schemas.openxmlformats.org/officeDocument/2006/math">
                  <m:r>
                    <a:rPr lang="en-ZA" sz="1100" b="0" i="0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8</m:t>
                  </m:r>
                  <m:r>
                    <a:rPr lang="en-ZA" sz="1100" b="0" i="1" baseline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p>
                    <m:sSupPr>
                      <m:ctrlPr>
                        <a:rPr lang="en-ZA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pPr>
                    <m:e>
                      <m:r>
                        <a:rPr lang="en-ZA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10</m:t>
                      </m:r>
                    </m:e>
                    <m:sup>
                      <m:r>
                        <a:rPr lang="en-ZA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−4</m:t>
                      </m:r>
                    </m:sup>
                  </m:sSup>
                </m:oMath>
              </a14:m>
              <a:r>
                <a:rPr lang="en-ZA" sz="1100" baseline="0"/>
                <a:t> - </a:t>
              </a:r>
              <a14:m>
                <m:oMath xmlns:m="http://schemas.openxmlformats.org/officeDocument/2006/math">
                  <m:sSup>
                    <m:sSupPr>
                      <m:ctrlPr>
                        <a:rPr lang="en-ZA" sz="1100" b="0" i="1" baseline="0">
                          <a:latin typeface="Cambria Math" panose="02040503050406030204" pitchFamily="18" charset="0"/>
                        </a:rPr>
                      </m:ctrlPr>
                    </m:sSupPr>
                    <m:e>
                      <m:r>
                        <a:rPr lang="en-ZA" sz="1100" b="0" i="1" baseline="0">
                          <a:latin typeface="Cambria Math" panose="02040503050406030204" pitchFamily="18" charset="0"/>
                        </a:rPr>
                        <m:t>10</m:t>
                      </m:r>
                    </m:e>
                    <m:sup>
                      <m:r>
                        <a:rPr lang="en-ZA" sz="1100" b="0" i="1" baseline="0">
                          <a:latin typeface="Cambria Math" panose="02040503050406030204" pitchFamily="18" charset="0"/>
                        </a:rPr>
                        <m:t>−3</m:t>
                      </m:r>
                    </m:sup>
                  </m:sSup>
                </m:oMath>
              </a14:m>
              <a:r>
                <a:rPr lang="en-ZA" sz="1100" baseline="0"/>
                <a:t> Pa ∙ s</a:t>
              </a:r>
            </a:p>
            <a:p>
              <a:r>
                <a:rPr lang="en-ZA" sz="1100" baseline="0"/>
                <a:t>g	Acceleration due to gravity 9.81 m/s</a:t>
              </a:r>
              <a:r>
                <a:rPr lang="en-ZA" sz="1100" baseline="30000"/>
                <a:t>2</a:t>
              </a:r>
              <a:endParaRPr lang="en-ZA" sz="1100" baseline="0"/>
            </a:p>
            <a:p>
              <a:r>
                <a:rPr lang="el-GR" sz="1100" baseline="0"/>
                <a:t>α</a:t>
              </a:r>
              <a:r>
                <a:rPr lang="en-ZA" sz="1100" baseline="0"/>
                <a:t>	Reciprocal of bubbling pressure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3 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-1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	Van Genuchten parameter, ≈ 1.1 - 1.7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	Van Genuchten parameter, m = 1 - 1/n</a:t>
              </a:r>
              <a:endParaRPr lang="en-ZA" sz="1100" baseline="0"/>
            </a:p>
            <a:p>
              <a:r>
                <a:rPr lang="el-GR" sz="1100" baseline="0"/>
                <a:t>ϑ</a:t>
              </a:r>
              <a:r>
                <a:rPr lang="en-ZA" sz="1100" baseline="0"/>
                <a:t>r	Residual water content,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0.01, some small value</a:t>
              </a:r>
            </a:p>
            <a:p>
              <a:r>
                <a:rPr lang="el-GR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ϑ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	Saturated water content ≈ 0.3 - 0.4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V(in)	Specific inlet discharge 5 - 10 L/m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∙ h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	Height of the bed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	Number of space discretization elements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s0	Initial saturation &gt; 0! Will break if s0 = 0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t(max)	Final time of simulation</a:t>
              </a:r>
            </a:p>
            <a:p>
              <a:r>
                <a:rPr lang="en-ZA" sz="1100" baseline="0"/>
                <a:t>M	Number of output time points</a:t>
              </a:r>
            </a:p>
            <a:p>
              <a:endParaRPr lang="en-ZA" sz="1100" baseline="0"/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C4E19D37-A8CA-4552-AC6F-78A1DC8BCA87}"/>
                </a:ext>
              </a:extLst>
            </xdr:cNvPr>
            <xdr:cNvSpPr txBox="1"/>
          </xdr:nvSpPr>
          <xdr:spPr>
            <a:xfrm>
              <a:off x="5191125" y="200025"/>
              <a:ext cx="4238624" cy="302895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en-ZA" sz="1600" b="1" u="none"/>
                <a:t>Nomenclature</a:t>
              </a:r>
            </a:p>
            <a:p>
              <a:endParaRPr lang="en-ZA" sz="1100" baseline="0"/>
            </a:p>
            <a:p>
              <a:r>
                <a:rPr lang="en-ZA" sz="1100" baseline="0"/>
                <a:t>k	Intrinsic permeability ≈ 10</a:t>
              </a:r>
              <a:r>
                <a:rPr lang="en-ZA" sz="1100" baseline="30000"/>
                <a:t>-11</a:t>
              </a:r>
              <a:r>
                <a:rPr lang="en-ZA" sz="1100" baseline="0"/>
                <a:t> - 10</a:t>
              </a:r>
              <a:r>
                <a:rPr lang="en-ZA" sz="1100" baseline="30000"/>
                <a:t>-9</a:t>
              </a:r>
              <a:r>
                <a:rPr lang="en-ZA" sz="1100" baseline="0"/>
                <a:t> m</a:t>
              </a:r>
              <a:r>
                <a:rPr lang="en-ZA" sz="1100" baseline="30000"/>
                <a:t>2</a:t>
              </a:r>
              <a:endParaRPr lang="en-ZA" sz="1100" baseline="0"/>
            </a:p>
            <a:p>
              <a:r>
                <a:rPr lang="en-ZA" sz="1100" baseline="0"/>
                <a:t>ρ	Liquid density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1000 kg/m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3</a:t>
              </a:r>
              <a:r>
                <a:rPr lang="en-ZA" sz="1100" baseline="0"/>
                <a:t> </a:t>
              </a:r>
            </a:p>
            <a:p>
              <a:r>
                <a:rPr lang="el-GR" sz="1100" baseline="0"/>
                <a:t>μ</a:t>
              </a:r>
              <a:r>
                <a:rPr lang="en-ZA" sz="1100" baseline="0"/>
                <a:t>	Dynamic liquid viscosity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</a:t>
              </a:r>
              <a:r>
                <a:rPr lang="en-ZA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8×〖10〗^(−4)</a:t>
              </a:r>
              <a:r>
                <a:rPr lang="en-ZA" sz="1100" baseline="0"/>
                <a:t> - </a:t>
              </a:r>
              <a:r>
                <a:rPr lang="en-ZA" sz="1100" b="0" i="0" baseline="0">
                  <a:latin typeface="Cambria Math" panose="02040503050406030204" pitchFamily="18" charset="0"/>
                </a:rPr>
                <a:t>〖10〗^(−3)</a:t>
              </a:r>
              <a:r>
                <a:rPr lang="en-ZA" sz="1100" baseline="0"/>
                <a:t> Pa ∙ s</a:t>
              </a:r>
            </a:p>
            <a:p>
              <a:r>
                <a:rPr lang="en-ZA" sz="1100" baseline="0"/>
                <a:t>g	Acceleration due to gravity 9.81 m/s</a:t>
              </a:r>
              <a:r>
                <a:rPr lang="en-ZA" sz="1100" baseline="30000"/>
                <a:t>2</a:t>
              </a:r>
              <a:endParaRPr lang="en-ZA" sz="1100" baseline="0"/>
            </a:p>
            <a:p>
              <a:r>
                <a:rPr lang="el-GR" sz="1100" baseline="0"/>
                <a:t>α</a:t>
              </a:r>
              <a:r>
                <a:rPr lang="en-ZA" sz="1100" baseline="0"/>
                <a:t>	Reciprocal of bubbling pressure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3 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-1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	Van Genuchten parameter, ≈ 1.1 - 1.7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m	Van Genuchten parameter, m = 1 - 1/n</a:t>
              </a:r>
              <a:endParaRPr lang="en-ZA" sz="1100" baseline="0"/>
            </a:p>
            <a:p>
              <a:r>
                <a:rPr lang="el-GR" sz="1100" baseline="0"/>
                <a:t>ϑ</a:t>
              </a:r>
              <a:r>
                <a:rPr lang="en-ZA" sz="1100" baseline="0"/>
                <a:t>r	Residual water content,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≈ 0.01, some small value</a:t>
              </a:r>
            </a:p>
            <a:p>
              <a:r>
                <a:rPr lang="el-GR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ϑ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	Saturated water content ≈ 0.3 - 0.4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V(in)	Specific inlet discharge 5 - 10 L/m</a:t>
              </a:r>
              <a:r>
                <a:rPr lang="en-ZA" sz="1100" baseline="30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2 </a:t>
              </a:r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∙ h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H	Height of the bed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N	Number of space discretization elements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s0	Initial saturation &gt; 0! Will break if s0 = 0</a:t>
              </a:r>
            </a:p>
            <a:p>
              <a:r>
                <a:rPr lang="en-ZA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t(max)	Final time of simulation</a:t>
              </a:r>
            </a:p>
            <a:p>
              <a:r>
                <a:rPr lang="en-ZA" sz="1100" baseline="0"/>
                <a:t>M	Number of output time points</a:t>
              </a:r>
            </a:p>
            <a:p>
              <a:endParaRPr lang="en-ZA" sz="1100" baseline="0"/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1</xdr:row>
          <xdr:rowOff>47625</xdr:rowOff>
        </xdr:from>
        <xdr:to>
          <xdr:col>7</xdr:col>
          <xdr:colOff>590550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4DD6A615-CCEA-40AA-B251-7EEB4299B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Model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4761</xdr:rowOff>
    </xdr:from>
    <xdr:to>
      <xdr:col>8</xdr:col>
      <xdr:colOff>0</xdr:colOff>
      <xdr:row>23</xdr:row>
      <xdr:rowOff>180974</xdr:rowOff>
    </xdr:to>
    <xdr:graphicFrame macro="">
      <xdr:nvGraphicFramePr>
        <xdr:cNvPr id="2" name="DepthChart">
          <a:extLst>
            <a:ext uri="{FF2B5EF4-FFF2-40B4-BE49-F238E27FC236}">
              <a16:creationId xmlns:a16="http://schemas.microsoft.com/office/drawing/2014/main" id="{0B9427B2-0D35-40F6-B27D-AF685E5254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7</xdr:row>
      <xdr:rowOff>4761</xdr:rowOff>
    </xdr:from>
    <xdr:to>
      <xdr:col>17</xdr:col>
      <xdr:colOff>57150</xdr:colOff>
      <xdr:row>23</xdr:row>
      <xdr:rowOff>180974</xdr:rowOff>
    </xdr:to>
    <xdr:graphicFrame macro="">
      <xdr:nvGraphicFramePr>
        <xdr:cNvPr id="3" name="TimeChart">
          <a:extLst>
            <a:ext uri="{FF2B5EF4-FFF2-40B4-BE49-F238E27FC236}">
              <a16:creationId xmlns:a16="http://schemas.microsoft.com/office/drawing/2014/main" id="{7B216487-67FE-4024-97D0-EAF26A63F1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0</xdr:row>
          <xdr:rowOff>66675</xdr:rowOff>
        </xdr:from>
        <xdr:to>
          <xdr:col>4</xdr:col>
          <xdr:colOff>581025</xdr:colOff>
          <xdr:row>1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D7B3D35C-E688-4DC1-AE87-671BF68AD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Charts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GeneralSheet"/>
  <dimension ref="A1:M23"/>
  <sheetViews>
    <sheetView tabSelected="1" workbookViewId="0">
      <pane ySplit="1" topLeftCell="A2" activePane="bottomLeft" state="frozen"/>
      <selection pane="bottomLeft" activeCell="D11" sqref="D11"/>
    </sheetView>
  </sheetViews>
  <sheetFormatPr defaultRowHeight="15" x14ac:dyDescent="0.25"/>
  <cols>
    <col min="1" max="1" width="24.5703125" bestFit="1" customWidth="1"/>
    <col min="2" max="13" width="8.28515625" bestFit="1" customWidth="1"/>
  </cols>
  <sheetData>
    <row r="1" spans="1:13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</row>
    <row r="2" spans="1:13" x14ac:dyDescent="0.25">
      <c r="A2" t="s">
        <v>13</v>
      </c>
      <c r="B2" t="s">
        <v>14</v>
      </c>
      <c r="C2" t="s">
        <v>15</v>
      </c>
      <c r="D2" t="s">
        <v>16</v>
      </c>
      <c r="E2" t="s">
        <v>17</v>
      </c>
      <c r="F2" t="s">
        <v>14</v>
      </c>
      <c r="G2" t="s">
        <v>18</v>
      </c>
      <c r="H2" t="s">
        <v>19</v>
      </c>
      <c r="I2" t="s">
        <v>20</v>
      </c>
      <c r="J2" t="s">
        <v>14</v>
      </c>
      <c r="K2" t="s">
        <v>15</v>
      </c>
      <c r="L2" t="s">
        <v>14</v>
      </c>
      <c r="M2" t="s">
        <v>15</v>
      </c>
    </row>
    <row r="3" spans="1:13" x14ac:dyDescent="0.25">
      <c r="A3" t="s">
        <v>21</v>
      </c>
      <c r="B3">
        <v>26.5</v>
      </c>
      <c r="C3">
        <f>B3</f>
        <v>26.5</v>
      </c>
      <c r="D3">
        <f t="shared" ref="D3:M3" si="0">C3</f>
        <v>26.5</v>
      </c>
      <c r="E3">
        <f t="shared" si="0"/>
        <v>26.5</v>
      </c>
      <c r="F3">
        <f t="shared" si="0"/>
        <v>26.5</v>
      </c>
      <c r="G3">
        <f t="shared" si="0"/>
        <v>26.5</v>
      </c>
      <c r="H3">
        <f t="shared" si="0"/>
        <v>26.5</v>
      </c>
      <c r="I3">
        <f t="shared" si="0"/>
        <v>26.5</v>
      </c>
      <c r="J3">
        <f t="shared" si="0"/>
        <v>26.5</v>
      </c>
      <c r="K3">
        <f t="shared" si="0"/>
        <v>26.5</v>
      </c>
      <c r="L3">
        <f t="shared" si="0"/>
        <v>26.5</v>
      </c>
      <c r="M3">
        <f t="shared" si="0"/>
        <v>26.5</v>
      </c>
    </row>
    <row r="4" spans="1:13" x14ac:dyDescent="0.25">
      <c r="A4" t="s">
        <v>22</v>
      </c>
      <c r="B4">
        <v>0.75</v>
      </c>
      <c r="C4">
        <v>0.25</v>
      </c>
      <c r="D4">
        <v>1.5</v>
      </c>
      <c r="E4">
        <v>0.97</v>
      </c>
      <c r="F4">
        <v>0.75</v>
      </c>
      <c r="G4">
        <v>0.6</v>
      </c>
      <c r="H4">
        <v>0.5</v>
      </c>
      <c r="I4">
        <v>0.4</v>
      </c>
      <c r="J4">
        <v>0.75</v>
      </c>
      <c r="K4">
        <v>0.25</v>
      </c>
      <c r="L4">
        <v>0.75</v>
      </c>
      <c r="M4">
        <v>0.25</v>
      </c>
    </row>
    <row r="5" spans="1:13" x14ac:dyDescent="0.25">
      <c r="A5" t="s">
        <v>23</v>
      </c>
      <c r="B5">
        <v>9.6</v>
      </c>
      <c r="C5">
        <v>9.4499999999999993</v>
      </c>
      <c r="D5">
        <v>9.5500000000000007</v>
      </c>
      <c r="E5">
        <v>9.4499999999999993</v>
      </c>
      <c r="F5">
        <f>B5</f>
        <v>9.6</v>
      </c>
      <c r="G5">
        <f t="shared" ref="G5:M5" si="1">C5</f>
        <v>9.4499999999999993</v>
      </c>
      <c r="H5">
        <f t="shared" si="1"/>
        <v>9.5500000000000007</v>
      </c>
      <c r="I5">
        <f t="shared" si="1"/>
        <v>9.4499999999999993</v>
      </c>
      <c r="J5">
        <f t="shared" si="1"/>
        <v>9.6</v>
      </c>
      <c r="K5">
        <f t="shared" si="1"/>
        <v>9.4499999999999993</v>
      </c>
      <c r="L5">
        <f t="shared" si="1"/>
        <v>9.5500000000000007</v>
      </c>
      <c r="M5">
        <f t="shared" si="1"/>
        <v>9.4499999999999993</v>
      </c>
    </row>
    <row r="6" spans="1:13" x14ac:dyDescent="0.25">
      <c r="A6" t="s">
        <v>24</v>
      </c>
      <c r="B6" s="1">
        <f>PI()*(B5/100)^2</f>
        <v>2.8952917895483533E-2</v>
      </c>
      <c r="C6" s="1">
        <f t="shared" ref="C6:M6" si="2">PI()*(C5/100)^2</f>
        <v>2.805520779472024E-2</v>
      </c>
      <c r="D6" s="1">
        <f t="shared" si="2"/>
        <v>2.8652110398902312E-2</v>
      </c>
      <c r="E6" s="1">
        <f t="shared" si="2"/>
        <v>2.805520779472024E-2</v>
      </c>
      <c r="F6" s="1">
        <f t="shared" si="2"/>
        <v>2.8952917895483533E-2</v>
      </c>
      <c r="G6" s="1">
        <f t="shared" si="2"/>
        <v>2.805520779472024E-2</v>
      </c>
      <c r="H6" s="1">
        <f t="shared" si="2"/>
        <v>2.8652110398902312E-2</v>
      </c>
      <c r="I6" s="1">
        <f t="shared" si="2"/>
        <v>2.805520779472024E-2</v>
      </c>
      <c r="J6" s="1">
        <f t="shared" si="2"/>
        <v>2.8952917895483533E-2</v>
      </c>
      <c r="K6" s="1">
        <f t="shared" si="2"/>
        <v>2.805520779472024E-2</v>
      </c>
      <c r="L6" s="1">
        <f t="shared" si="2"/>
        <v>2.8652110398902312E-2</v>
      </c>
      <c r="M6" s="1">
        <f t="shared" si="2"/>
        <v>2.805520779472024E-2</v>
      </c>
    </row>
    <row r="7" spans="1:13" x14ac:dyDescent="0.25">
      <c r="A7" t="s">
        <v>25</v>
      </c>
      <c r="B7">
        <v>9.02</v>
      </c>
      <c r="C7">
        <v>9.06</v>
      </c>
      <c r="D7">
        <v>9.08</v>
      </c>
      <c r="E7">
        <v>9.07</v>
      </c>
      <c r="F7">
        <v>8.99</v>
      </c>
      <c r="G7">
        <v>9.0399999999999991</v>
      </c>
      <c r="H7">
        <v>9.07</v>
      </c>
      <c r="I7">
        <v>9.0500000000000007</v>
      </c>
      <c r="J7">
        <v>9.15</v>
      </c>
      <c r="K7">
        <v>9.1300000000000008</v>
      </c>
      <c r="L7">
        <v>9.17</v>
      </c>
      <c r="M7">
        <v>9.16</v>
      </c>
    </row>
    <row r="8" spans="1:13" x14ac:dyDescent="0.25">
      <c r="A8" t="s">
        <v>26</v>
      </c>
      <c r="B8">
        <v>10.51</v>
      </c>
      <c r="C8">
        <v>10.57</v>
      </c>
      <c r="D8">
        <v>10.59</v>
      </c>
      <c r="E8">
        <v>10.57</v>
      </c>
      <c r="F8">
        <v>9.65</v>
      </c>
      <c r="G8">
        <v>9.7200000000000006</v>
      </c>
      <c r="H8">
        <v>9.75</v>
      </c>
      <c r="I8">
        <v>9.7899999999999991</v>
      </c>
      <c r="J8">
        <v>9.8800000000000008</v>
      </c>
      <c r="K8">
        <v>9.8800000000000008</v>
      </c>
      <c r="L8">
        <v>9.8800000000000008</v>
      </c>
      <c r="M8">
        <v>9.8800000000000008</v>
      </c>
    </row>
    <row r="9" spans="1:13" x14ac:dyDescent="0.25">
      <c r="A9" t="s">
        <v>27</v>
      </c>
      <c r="B9" s="2">
        <f>B8-B7</f>
        <v>1.4900000000000002</v>
      </c>
      <c r="C9" s="2">
        <f t="shared" ref="C9:M9" si="3">C8-C7</f>
        <v>1.5099999999999998</v>
      </c>
      <c r="D9" s="2">
        <f t="shared" si="3"/>
        <v>1.5099999999999998</v>
      </c>
      <c r="E9" s="2">
        <f t="shared" si="3"/>
        <v>1.5</v>
      </c>
      <c r="F9" s="2">
        <f t="shared" si="3"/>
        <v>0.66000000000000014</v>
      </c>
      <c r="G9" s="2">
        <f t="shared" si="3"/>
        <v>0.68000000000000149</v>
      </c>
      <c r="H9" s="2">
        <f t="shared" si="3"/>
        <v>0.67999999999999972</v>
      </c>
      <c r="I9" s="2">
        <f t="shared" si="3"/>
        <v>0.73999999999999844</v>
      </c>
      <c r="J9" s="2">
        <f t="shared" si="3"/>
        <v>0.73000000000000043</v>
      </c>
      <c r="K9" s="2">
        <f t="shared" si="3"/>
        <v>0.75</v>
      </c>
      <c r="L9" s="2">
        <f t="shared" si="3"/>
        <v>0.71000000000000085</v>
      </c>
      <c r="M9" s="2">
        <f t="shared" si="3"/>
        <v>0.72000000000000064</v>
      </c>
    </row>
    <row r="10" spans="1:13" x14ac:dyDescent="0.25">
      <c r="A10" t="s">
        <v>28</v>
      </c>
      <c r="F10" s="2">
        <v>15</v>
      </c>
      <c r="G10" s="2">
        <v>15</v>
      </c>
      <c r="H10" s="2">
        <v>15</v>
      </c>
      <c r="I10" s="2">
        <v>15</v>
      </c>
      <c r="J10" s="2">
        <v>15</v>
      </c>
      <c r="K10" s="2">
        <v>15</v>
      </c>
      <c r="L10" s="2">
        <v>15</v>
      </c>
      <c r="M10" s="2">
        <v>15</v>
      </c>
    </row>
    <row r="11" spans="1:13" x14ac:dyDescent="0.25">
      <c r="A11" t="s">
        <v>29</v>
      </c>
      <c r="F11" s="2">
        <v>2.85</v>
      </c>
      <c r="G11" s="2">
        <v>2.5</v>
      </c>
      <c r="H11" s="2">
        <v>2.1</v>
      </c>
      <c r="I11" s="2">
        <v>3.07</v>
      </c>
      <c r="J11" s="2">
        <v>3.14</v>
      </c>
      <c r="K11" s="2">
        <v>3.68</v>
      </c>
      <c r="L11" s="2">
        <v>2.79</v>
      </c>
      <c r="M11" s="2">
        <v>3.86</v>
      </c>
    </row>
    <row r="12" spans="1:13" x14ac:dyDescent="0.25">
      <c r="A12" t="s">
        <v>30</v>
      </c>
      <c r="B12">
        <v>11.99</v>
      </c>
      <c r="C12">
        <v>10.47</v>
      </c>
      <c r="D12">
        <v>11.65</v>
      </c>
      <c r="E12">
        <v>11.57</v>
      </c>
      <c r="F12">
        <f>F10-F11</f>
        <v>12.15</v>
      </c>
      <c r="G12">
        <f t="shared" ref="G12:M12" si="4">G10-G11</f>
        <v>12.5</v>
      </c>
      <c r="H12">
        <f t="shared" si="4"/>
        <v>12.9</v>
      </c>
      <c r="I12">
        <f t="shared" si="4"/>
        <v>11.93</v>
      </c>
      <c r="J12">
        <f t="shared" si="4"/>
        <v>11.86</v>
      </c>
      <c r="K12">
        <f t="shared" si="4"/>
        <v>11.32</v>
      </c>
      <c r="L12">
        <f t="shared" si="4"/>
        <v>12.21</v>
      </c>
      <c r="M12">
        <f t="shared" si="4"/>
        <v>11.14</v>
      </c>
    </row>
    <row r="13" spans="1:13" x14ac:dyDescent="0.25">
      <c r="A13" t="s">
        <v>31</v>
      </c>
      <c r="B13" s="2">
        <v>23.09</v>
      </c>
      <c r="C13" s="2">
        <v>21.78</v>
      </c>
      <c r="D13" s="2">
        <v>22.44</v>
      </c>
      <c r="E13" s="2">
        <v>22.35</v>
      </c>
      <c r="F13" s="2">
        <v>21.93</v>
      </c>
      <c r="G13" s="2">
        <v>22.41</v>
      </c>
      <c r="H13" s="2">
        <v>22.81</v>
      </c>
      <c r="I13" s="2">
        <v>21.97</v>
      </c>
      <c r="J13" s="2">
        <v>21.94</v>
      </c>
      <c r="K13" s="2">
        <v>21.71</v>
      </c>
      <c r="L13" s="2">
        <v>22.29</v>
      </c>
      <c r="M13" s="2">
        <v>21.6</v>
      </c>
    </row>
    <row r="14" spans="1:13" x14ac:dyDescent="0.25">
      <c r="A14" t="s">
        <v>32</v>
      </c>
      <c r="B14" s="2">
        <f>B13-B12-B8</f>
        <v>0.58999999999999986</v>
      </c>
      <c r="C14" s="2">
        <f t="shared" ref="C14:M14" si="5">C13-C12-C8</f>
        <v>0.74000000000000021</v>
      </c>
      <c r="D14" s="2">
        <f t="shared" si="5"/>
        <v>0.20000000000000107</v>
      </c>
      <c r="E14" s="2">
        <f t="shared" si="5"/>
        <v>0.21000000000000085</v>
      </c>
      <c r="F14" s="2">
        <f t="shared" si="5"/>
        <v>0.12999999999999901</v>
      </c>
      <c r="G14" s="2">
        <f t="shared" si="5"/>
        <v>0.1899999999999995</v>
      </c>
      <c r="H14" s="2">
        <f t="shared" si="5"/>
        <v>0.15999999999999837</v>
      </c>
      <c r="I14" s="2">
        <f t="shared" si="5"/>
        <v>0.25</v>
      </c>
      <c r="J14" s="2">
        <f t="shared" si="5"/>
        <v>0.20000000000000107</v>
      </c>
      <c r="K14" s="2">
        <f t="shared" si="5"/>
        <v>0.50999999999999979</v>
      </c>
      <c r="L14" s="2">
        <f t="shared" si="5"/>
        <v>0.19999999999999751</v>
      </c>
      <c r="M14" s="2">
        <f t="shared" si="5"/>
        <v>0.58000000000000007</v>
      </c>
    </row>
    <row r="15" spans="1:13" x14ac:dyDescent="0.25">
      <c r="A15" t="s">
        <v>33</v>
      </c>
      <c r="B15">
        <v>22.79</v>
      </c>
      <c r="C15">
        <v>21.35</v>
      </c>
      <c r="D15">
        <v>22.48</v>
      </c>
      <c r="E15">
        <v>22.41</v>
      </c>
      <c r="F15" s="2">
        <v>22</v>
      </c>
      <c r="G15" s="2">
        <v>22.46</v>
      </c>
      <c r="H15" s="2">
        <v>22.84</v>
      </c>
      <c r="I15" s="2">
        <v>22.03</v>
      </c>
      <c r="J15" s="2">
        <v>21.9</v>
      </c>
      <c r="K15" s="2">
        <v>21.63</v>
      </c>
    </row>
    <row r="16" spans="1:13" x14ac:dyDescent="0.25">
      <c r="A16" t="s">
        <v>34</v>
      </c>
      <c r="B16">
        <v>26.39</v>
      </c>
      <c r="C16">
        <v>23.56</v>
      </c>
      <c r="D16">
        <v>26.35</v>
      </c>
      <c r="E16">
        <v>26.02</v>
      </c>
      <c r="F16">
        <v>24.82</v>
      </c>
      <c r="G16">
        <v>24.99</v>
      </c>
      <c r="H16">
        <v>25.09</v>
      </c>
      <c r="I16">
        <v>23.83</v>
      </c>
      <c r="J16">
        <v>25.5</v>
      </c>
      <c r="K16">
        <v>23.26</v>
      </c>
    </row>
    <row r="17" spans="1:13" x14ac:dyDescent="0.25">
      <c r="A17" t="s">
        <v>35</v>
      </c>
      <c r="B17" s="2">
        <v>3.6</v>
      </c>
      <c r="C17">
        <v>2.21</v>
      </c>
      <c r="D17">
        <v>3.87</v>
      </c>
      <c r="E17">
        <v>3.61</v>
      </c>
      <c r="F17" s="2">
        <f>F16-F15+F14</f>
        <v>2.9499999999999993</v>
      </c>
      <c r="G17" s="2">
        <f t="shared" ref="G17:K17" si="6">G16-G15+G14</f>
        <v>2.7199999999999971</v>
      </c>
      <c r="H17" s="2">
        <f t="shared" si="6"/>
        <v>2.4099999999999984</v>
      </c>
      <c r="I17" s="2">
        <f t="shared" si="6"/>
        <v>2.0499999999999972</v>
      </c>
      <c r="J17" s="2">
        <f t="shared" si="6"/>
        <v>3.8000000000000025</v>
      </c>
      <c r="K17" s="2">
        <f t="shared" si="6"/>
        <v>2.1400000000000023</v>
      </c>
    </row>
    <row r="18" spans="1:13" x14ac:dyDescent="0.25">
      <c r="A18" t="s">
        <v>36</v>
      </c>
      <c r="B18" s="2">
        <v>28.5</v>
      </c>
      <c r="C18" s="2">
        <v>28.5</v>
      </c>
      <c r="D18" s="2">
        <v>28.5</v>
      </c>
      <c r="E18" s="2">
        <v>28.5</v>
      </c>
      <c r="F18" s="2">
        <v>28.5</v>
      </c>
      <c r="G18" s="2">
        <v>28.5</v>
      </c>
      <c r="H18" s="2">
        <v>28.5</v>
      </c>
      <c r="I18" s="2">
        <v>28.5</v>
      </c>
      <c r="J18" s="2">
        <v>29</v>
      </c>
      <c r="K18" s="2">
        <v>29</v>
      </c>
      <c r="L18" s="2">
        <v>29</v>
      </c>
      <c r="M18" s="2">
        <v>28.5</v>
      </c>
    </row>
    <row r="19" spans="1:13" x14ac:dyDescent="0.25">
      <c r="A19" t="s">
        <v>37</v>
      </c>
      <c r="B19" s="2">
        <v>1</v>
      </c>
      <c r="C19">
        <v>10</v>
      </c>
      <c r="D19">
        <v>0</v>
      </c>
      <c r="E19">
        <v>0</v>
      </c>
      <c r="F19" s="2">
        <v>3.5</v>
      </c>
      <c r="G19" s="2">
        <v>3.8</v>
      </c>
      <c r="H19" s="2">
        <v>5</v>
      </c>
      <c r="I19" s="2">
        <v>7</v>
      </c>
      <c r="J19" s="2">
        <v>1</v>
      </c>
      <c r="K19" s="2">
        <v>6.8</v>
      </c>
      <c r="L19" s="2">
        <v>0.5</v>
      </c>
      <c r="M19" s="2">
        <v>5.0999999999999996</v>
      </c>
    </row>
    <row r="20" spans="1:13" x14ac:dyDescent="0.25">
      <c r="A20" t="s">
        <v>38</v>
      </c>
      <c r="B20" s="2">
        <f>(B18-B19)/100*B6*1000</f>
        <v>7.9620524212579715</v>
      </c>
      <c r="C20" s="2">
        <f t="shared" ref="C20:M20" si="7">(C18-C19)/100*C6*1000</f>
        <v>5.1902134420232446</v>
      </c>
      <c r="D20" s="2">
        <f t="shared" si="7"/>
        <v>8.165851463687158</v>
      </c>
      <c r="E20" s="2">
        <f t="shared" si="7"/>
        <v>7.9957342214952671</v>
      </c>
      <c r="F20" s="2">
        <f t="shared" si="7"/>
        <v>7.2382294738708834</v>
      </c>
      <c r="G20" s="2">
        <f t="shared" si="7"/>
        <v>6.929636325295899</v>
      </c>
      <c r="H20" s="2">
        <f t="shared" si="7"/>
        <v>6.7332459437420429</v>
      </c>
      <c r="I20" s="2">
        <f t="shared" si="7"/>
        <v>6.0318696758648516</v>
      </c>
      <c r="J20" s="2">
        <f t="shared" si="7"/>
        <v>8.1068170107353907</v>
      </c>
      <c r="K20" s="2">
        <f t="shared" si="7"/>
        <v>6.2282561304278934</v>
      </c>
      <c r="L20" s="2">
        <f t="shared" si="7"/>
        <v>8.165851463687158</v>
      </c>
      <c r="M20" s="2">
        <f t="shared" si="7"/>
        <v>6.5649186239645356</v>
      </c>
    </row>
    <row r="21" spans="1:13" x14ac:dyDescent="0.25">
      <c r="A21" t="s">
        <v>39</v>
      </c>
      <c r="B21" s="3">
        <f>B17/B20</f>
        <v>0.45214472469288453</v>
      </c>
      <c r="C21" s="3">
        <f t="shared" ref="C21:K21" si="8">C17/C20</f>
        <v>0.42580137111634847</v>
      </c>
      <c r="D21" s="3">
        <f t="shared" si="8"/>
        <v>0.47392485856613464</v>
      </c>
      <c r="E21" s="3">
        <f t="shared" si="8"/>
        <v>0.45149074493935598</v>
      </c>
      <c r="F21" s="3">
        <f t="shared" si="8"/>
        <v>0.40755823100789162</v>
      </c>
      <c r="G21" s="3">
        <f t="shared" si="8"/>
        <v>0.3925169911256276</v>
      </c>
      <c r="H21" s="3">
        <f t="shared" si="8"/>
        <v>0.35792543746896405</v>
      </c>
      <c r="I21" s="3">
        <f t="shared" si="8"/>
        <v>0.33986145426891495</v>
      </c>
      <c r="J21" s="3">
        <f t="shared" si="8"/>
        <v>0.46874130684927034</v>
      </c>
      <c r="K21" s="3">
        <f t="shared" si="8"/>
        <v>0.34359537488272501</v>
      </c>
    </row>
    <row r="22" spans="1:13" x14ac:dyDescent="0.25">
      <c r="A22" t="s">
        <v>40</v>
      </c>
      <c r="B22">
        <f>(B18-B19)/100</f>
        <v>0.27500000000000002</v>
      </c>
      <c r="C22">
        <f t="shared" ref="C22:M22" si="9">(C18-C19)/100</f>
        <v>0.185</v>
      </c>
      <c r="D22">
        <f t="shared" si="9"/>
        <v>0.28499999999999998</v>
      </c>
      <c r="E22">
        <f t="shared" si="9"/>
        <v>0.28499999999999998</v>
      </c>
      <c r="F22">
        <f t="shared" si="9"/>
        <v>0.25</v>
      </c>
      <c r="G22">
        <f t="shared" si="9"/>
        <v>0.247</v>
      </c>
      <c r="H22">
        <f t="shared" si="9"/>
        <v>0.23499999999999999</v>
      </c>
      <c r="I22">
        <f t="shared" si="9"/>
        <v>0.215</v>
      </c>
      <c r="J22">
        <f t="shared" si="9"/>
        <v>0.28000000000000003</v>
      </c>
      <c r="K22">
        <f t="shared" si="9"/>
        <v>0.222</v>
      </c>
      <c r="L22">
        <f t="shared" si="9"/>
        <v>0.28499999999999998</v>
      </c>
      <c r="M22">
        <f t="shared" si="9"/>
        <v>0.23399999999999999</v>
      </c>
    </row>
    <row r="23" spans="1:13" x14ac:dyDescent="0.25">
      <c r="A23" t="s">
        <v>41</v>
      </c>
      <c r="B23" s="2">
        <f>B12*1000/(B20*1000)</f>
        <v>1.5058931247410237</v>
      </c>
      <c r="C23" s="2">
        <f t="shared" ref="C23:M23" si="10">C12*1000/(C20*1000)</f>
        <v>2.0172580794516599</v>
      </c>
      <c r="D23" s="2">
        <f t="shared" si="10"/>
        <v>1.4266730238489584</v>
      </c>
      <c r="E23" s="2">
        <f t="shared" si="10"/>
        <v>1.4470215841962186</v>
      </c>
      <c r="F23" s="2">
        <f t="shared" si="10"/>
        <v>1.6785872904223338</v>
      </c>
      <c r="G23" s="2">
        <f t="shared" si="10"/>
        <v>1.8038464665699818</v>
      </c>
      <c r="H23" s="2">
        <f t="shared" si="10"/>
        <v>1.9158664495226718</v>
      </c>
      <c r="I23" s="2">
        <f t="shared" si="10"/>
        <v>1.9778278777698348</v>
      </c>
      <c r="J23" s="2">
        <f t="shared" si="10"/>
        <v>1.4629662892716691</v>
      </c>
      <c r="K23" s="2">
        <f t="shared" si="10"/>
        <v>1.8175231979777771</v>
      </c>
      <c r="L23" s="2">
        <f t="shared" si="10"/>
        <v>1.4952512979567194</v>
      </c>
      <c r="M23" s="2">
        <f t="shared" si="10"/>
        <v>1.6968984138408993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G16"/>
  <sheetViews>
    <sheetView workbookViewId="0">
      <selection activeCell="B16" sqref="B16"/>
    </sheetView>
  </sheetViews>
  <sheetFormatPr defaultRowHeight="15" x14ac:dyDescent="0.25"/>
  <cols>
    <col min="1" max="1" width="10.28515625" bestFit="1" customWidth="1"/>
    <col min="2" max="2" width="8.28515625" bestFit="1" customWidth="1"/>
    <col min="3" max="3" width="7" bestFit="1" customWidth="1"/>
    <col min="4" max="4" width="8.5703125" bestFit="1" customWidth="1"/>
    <col min="5" max="5" width="6.7109375" bestFit="1" customWidth="1"/>
  </cols>
  <sheetData>
    <row r="1" spans="1:7" x14ac:dyDescent="0.25">
      <c r="A1" s="4" t="s">
        <v>42</v>
      </c>
      <c r="B1" s="5" t="s">
        <v>43</v>
      </c>
      <c r="C1" s="5" t="s">
        <v>44</v>
      </c>
      <c r="D1" s="5" t="s">
        <v>45</v>
      </c>
      <c r="E1" s="6" t="s">
        <v>46</v>
      </c>
    </row>
    <row r="2" spans="1:7" x14ac:dyDescent="0.25">
      <c r="A2" s="7" t="s">
        <v>47</v>
      </c>
      <c r="B2" s="8">
        <v>4.9999999999999998E-7</v>
      </c>
      <c r="C2" s="9" t="s">
        <v>48</v>
      </c>
      <c r="D2" s="10">
        <f>B2</f>
        <v>4.9999999999999998E-7</v>
      </c>
      <c r="E2" s="11" t="str">
        <f>C2</f>
        <v>m2</v>
      </c>
    </row>
    <row r="3" spans="1:7" x14ac:dyDescent="0.25">
      <c r="A3" s="12" t="s">
        <v>49</v>
      </c>
      <c r="B3" s="13">
        <v>1000</v>
      </c>
      <c r="C3" s="9" t="s">
        <v>50</v>
      </c>
      <c r="D3" s="14">
        <f t="shared" ref="D3:E14" si="0">B3</f>
        <v>1000</v>
      </c>
      <c r="E3" s="11" t="str">
        <f t="shared" si="0"/>
        <v>kg/m3</v>
      </c>
    </row>
    <row r="4" spans="1:7" ht="15.75" thickBot="1" x14ac:dyDescent="0.3">
      <c r="A4" s="12" t="s">
        <v>51</v>
      </c>
      <c r="B4" s="15">
        <v>8.8999999999999995E-4</v>
      </c>
      <c r="C4" s="9" t="s">
        <v>52</v>
      </c>
      <c r="D4" s="14">
        <f t="shared" si="0"/>
        <v>8.8999999999999995E-4</v>
      </c>
      <c r="E4" s="11" t="str">
        <f t="shared" si="0"/>
        <v>Pa s</v>
      </c>
    </row>
    <row r="5" spans="1:7" ht="16.5" thickTop="1" thickBot="1" x14ac:dyDescent="0.3">
      <c r="A5" s="12" t="s">
        <v>53</v>
      </c>
      <c r="B5" s="16">
        <v>9.81</v>
      </c>
      <c r="C5" s="9" t="s">
        <v>54</v>
      </c>
      <c r="D5" s="14">
        <f t="shared" si="0"/>
        <v>9.81</v>
      </c>
      <c r="E5" s="11" t="str">
        <f t="shared" si="0"/>
        <v>m/s2</v>
      </c>
    </row>
    <row r="6" spans="1:7" ht="15.75" thickTop="1" x14ac:dyDescent="0.25">
      <c r="A6" s="12" t="s">
        <v>55</v>
      </c>
      <c r="B6" s="13">
        <v>3</v>
      </c>
      <c r="C6" s="9" t="s">
        <v>56</v>
      </c>
      <c r="D6" s="14">
        <f t="shared" si="0"/>
        <v>3</v>
      </c>
      <c r="E6" s="11" t="str">
        <f t="shared" si="0"/>
        <v>1/m</v>
      </c>
    </row>
    <row r="7" spans="1:7" x14ac:dyDescent="0.25">
      <c r="A7" s="12" t="s">
        <v>57</v>
      </c>
      <c r="B7" s="17">
        <v>1.3</v>
      </c>
      <c r="C7" s="9" t="s">
        <v>58</v>
      </c>
      <c r="D7" s="14">
        <f t="shared" si="0"/>
        <v>1.3</v>
      </c>
      <c r="E7" s="11" t="str">
        <f t="shared" si="0"/>
        <v>-</v>
      </c>
      <c r="G7" s="1"/>
    </row>
    <row r="8" spans="1:7" x14ac:dyDescent="0.25">
      <c r="A8" s="12" t="s">
        <v>59</v>
      </c>
      <c r="B8" s="18">
        <f>1-1/B7</f>
        <v>0.23076923076923084</v>
      </c>
      <c r="C8" s="9" t="s">
        <v>58</v>
      </c>
      <c r="D8" s="14">
        <f t="shared" si="0"/>
        <v>0.23076923076923084</v>
      </c>
      <c r="E8" s="11" t="str">
        <f t="shared" si="0"/>
        <v>-</v>
      </c>
    </row>
    <row r="9" spans="1:7" x14ac:dyDescent="0.25">
      <c r="A9" s="12" t="s">
        <v>60</v>
      </c>
      <c r="B9" s="13">
        <f>B10*0.05</f>
        <v>1.8499999999999999E-2</v>
      </c>
      <c r="C9" s="9" t="s">
        <v>58</v>
      </c>
      <c r="D9" s="14">
        <f t="shared" si="0"/>
        <v>1.8499999999999999E-2</v>
      </c>
      <c r="E9" s="11" t="str">
        <f t="shared" si="0"/>
        <v>-</v>
      </c>
    </row>
    <row r="10" spans="1:7" x14ac:dyDescent="0.25">
      <c r="A10" s="12" t="s">
        <v>61</v>
      </c>
      <c r="B10" s="13">
        <v>0.37</v>
      </c>
      <c r="C10" s="9" t="s">
        <v>58</v>
      </c>
      <c r="D10" s="14">
        <f t="shared" si="0"/>
        <v>0.37</v>
      </c>
      <c r="E10" s="11" t="str">
        <f t="shared" si="0"/>
        <v>-</v>
      </c>
    </row>
    <row r="11" spans="1:7" x14ac:dyDescent="0.25">
      <c r="A11" s="12" t="s">
        <v>62</v>
      </c>
      <c r="B11" s="13">
        <v>10</v>
      </c>
      <c r="C11" s="9" t="s">
        <v>63</v>
      </c>
      <c r="D11" s="14">
        <f>B11/1000/3600</f>
        <v>2.7777777777777779E-6</v>
      </c>
      <c r="E11" s="11" t="s">
        <v>54</v>
      </c>
    </row>
    <row r="12" spans="1:7" x14ac:dyDescent="0.25">
      <c r="A12" s="12" t="s">
        <v>64</v>
      </c>
      <c r="B12" s="13">
        <v>0.25</v>
      </c>
      <c r="C12" s="9" t="s">
        <v>59</v>
      </c>
      <c r="D12" s="14">
        <f t="shared" si="0"/>
        <v>0.25</v>
      </c>
      <c r="E12" s="11" t="str">
        <f t="shared" si="0"/>
        <v>m</v>
      </c>
    </row>
    <row r="13" spans="1:7" x14ac:dyDescent="0.25">
      <c r="A13" s="12" t="s">
        <v>65</v>
      </c>
      <c r="B13" s="13">
        <v>20</v>
      </c>
      <c r="C13" s="9" t="s">
        <v>58</v>
      </c>
      <c r="D13" s="14">
        <f t="shared" si="0"/>
        <v>20</v>
      </c>
      <c r="E13" s="11" t="str">
        <f t="shared" si="0"/>
        <v>-</v>
      </c>
    </row>
    <row r="14" spans="1:7" x14ac:dyDescent="0.25">
      <c r="A14" s="12" t="s">
        <v>66</v>
      </c>
      <c r="B14" s="13">
        <v>0.01</v>
      </c>
      <c r="C14" s="9" t="s">
        <v>58</v>
      </c>
      <c r="D14" s="14">
        <f t="shared" si="0"/>
        <v>0.01</v>
      </c>
      <c r="E14" s="11" t="str">
        <f t="shared" si="0"/>
        <v>-</v>
      </c>
    </row>
    <row r="15" spans="1:7" x14ac:dyDescent="0.25">
      <c r="A15" s="12" t="s">
        <v>67</v>
      </c>
      <c r="B15" s="13">
        <v>4</v>
      </c>
      <c r="C15" s="9" t="s">
        <v>68</v>
      </c>
      <c r="D15" s="14">
        <f>B15*3600</f>
        <v>14400</v>
      </c>
      <c r="E15" s="11" t="s">
        <v>69</v>
      </c>
    </row>
    <row r="16" spans="1:7" x14ac:dyDescent="0.25">
      <c r="A16" s="19" t="s">
        <v>70</v>
      </c>
      <c r="B16" s="20">
        <f>ROUND(B15*4,0)</f>
        <v>16</v>
      </c>
      <c r="C16" s="21" t="s">
        <v>58</v>
      </c>
      <c r="D16" s="22">
        <f>B16</f>
        <v>16</v>
      </c>
      <c r="E16" s="23" t="s">
        <v>58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InputSheet.RunModel_Click" altText="Run Model">
                <anchor moveWithCells="1" sizeWithCells="1">
                  <from>
                    <xdr:col>6</xdr:col>
                    <xdr:colOff>28575</xdr:colOff>
                    <xdr:row>1</xdr:row>
                    <xdr:rowOff>47625</xdr:rowOff>
                  </from>
                  <to>
                    <xdr:col>7</xdr:col>
                    <xdr:colOff>590550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ResultSheet"/>
  <dimension ref="A1:I4"/>
  <sheetViews>
    <sheetView workbookViewId="0">
      <selection activeCell="E6" sqref="E6"/>
    </sheetView>
  </sheetViews>
  <sheetFormatPr defaultRowHeight="15" x14ac:dyDescent="0.25"/>
  <cols>
    <col min="1" max="1" width="17.5703125" bestFit="1" customWidth="1"/>
    <col min="2" max="2" width="6.140625" bestFit="1" customWidth="1"/>
    <col min="3" max="3" width="4.7109375" bestFit="1" customWidth="1"/>
  </cols>
  <sheetData>
    <row r="1" spans="1:9" x14ac:dyDescent="0.25">
      <c r="A1" s="26" t="s">
        <v>42</v>
      </c>
      <c r="B1" s="26" t="s">
        <v>43</v>
      </c>
      <c r="C1" s="26" t="s">
        <v>71</v>
      </c>
    </row>
    <row r="2" spans="1:9" x14ac:dyDescent="0.25">
      <c r="A2" t="s">
        <v>72</v>
      </c>
      <c r="B2" s="25">
        <v>8</v>
      </c>
      <c r="C2" t="s">
        <v>58</v>
      </c>
    </row>
    <row r="3" spans="1:9" x14ac:dyDescent="0.25">
      <c r="A3" t="s">
        <v>73</v>
      </c>
      <c r="B3" s="24">
        <v>5</v>
      </c>
      <c r="C3" t="s">
        <v>58</v>
      </c>
    </row>
    <row r="4" spans="1:9" x14ac:dyDescent="0.25">
      <c r="I4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sultSheet.UpdateCharts_Click">
                <anchor moveWithCells="1" sizeWithCells="1">
                  <from>
                    <xdr:col>3</xdr:col>
                    <xdr:colOff>114300</xdr:colOff>
                    <xdr:row>0</xdr:row>
                    <xdr:rowOff>66675</xdr:rowOff>
                  </from>
                  <to>
                    <xdr:col>4</xdr:col>
                    <xdr:colOff>581025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awResultSheet"/>
  <dimension ref="A1:U18"/>
  <sheetViews>
    <sheetView workbookViewId="0">
      <selection activeCell="A26" sqref="A26"/>
    </sheetView>
  </sheetViews>
  <sheetFormatPr defaultRowHeight="15" x14ac:dyDescent="0.25"/>
  <sheetData>
    <row r="1" spans="1:21" x14ac:dyDescent="0.25">
      <c r="A1">
        <v>16</v>
      </c>
      <c r="B1">
        <v>20</v>
      </c>
    </row>
    <row r="2" spans="1:21" x14ac:dyDescent="0.25">
      <c r="B2">
        <v>6.2500000000000003E-3</v>
      </c>
      <c r="C2">
        <v>1.8749999999999999E-2</v>
      </c>
      <c r="D2">
        <v>3.125E-2</v>
      </c>
      <c r="E2">
        <v>4.3749999999999997E-2</v>
      </c>
      <c r="F2">
        <v>5.6249999999999994E-2</v>
      </c>
      <c r="G2">
        <v>6.8750000000000006E-2</v>
      </c>
      <c r="H2">
        <v>8.1250000000000003E-2</v>
      </c>
      <c r="I2">
        <v>9.375E-2</v>
      </c>
      <c r="J2">
        <v>0.10625</v>
      </c>
      <c r="K2">
        <v>0.11874999999999999</v>
      </c>
      <c r="L2">
        <v>0.13125000000000001</v>
      </c>
      <c r="M2">
        <v>0.14374999999999999</v>
      </c>
      <c r="N2">
        <v>0.15625</v>
      </c>
      <c r="O2">
        <v>0.16875000000000001</v>
      </c>
      <c r="P2">
        <v>0.18124999999999999</v>
      </c>
      <c r="Q2">
        <v>0.19375000000000001</v>
      </c>
      <c r="R2">
        <v>0.20624999999999999</v>
      </c>
      <c r="S2">
        <v>0.21875</v>
      </c>
      <c r="T2">
        <v>0.23124999999999998</v>
      </c>
      <c r="U2">
        <v>0.24374999999999999</v>
      </c>
    </row>
    <row r="3" spans="1:21" x14ac:dyDescent="0.25">
      <c r="A3">
        <v>0</v>
      </c>
      <c r="B3">
        <v>0.01</v>
      </c>
      <c r="C3">
        <v>0.01</v>
      </c>
      <c r="D3">
        <v>0.01</v>
      </c>
      <c r="E3">
        <v>0.01</v>
      </c>
      <c r="F3">
        <v>0.01</v>
      </c>
      <c r="G3">
        <v>0.01</v>
      </c>
      <c r="H3">
        <v>0.01</v>
      </c>
      <c r="I3">
        <v>0.01</v>
      </c>
      <c r="J3">
        <v>0.01</v>
      </c>
      <c r="K3">
        <v>0.01</v>
      </c>
      <c r="L3">
        <v>0.01</v>
      </c>
      <c r="M3">
        <v>0.01</v>
      </c>
      <c r="N3">
        <v>0.01</v>
      </c>
      <c r="O3">
        <v>0.01</v>
      </c>
      <c r="P3">
        <v>0.01</v>
      </c>
      <c r="Q3">
        <v>0.01</v>
      </c>
      <c r="R3">
        <v>0.01</v>
      </c>
      <c r="S3">
        <v>0.01</v>
      </c>
      <c r="T3">
        <v>0.01</v>
      </c>
      <c r="U3">
        <v>0.01</v>
      </c>
    </row>
    <row r="4" spans="1:21" x14ac:dyDescent="0.25">
      <c r="A4">
        <v>0.26666666666666666</v>
      </c>
      <c r="B4">
        <v>0.11441145060850352</v>
      </c>
      <c r="C4">
        <v>0.11042326483713492</v>
      </c>
      <c r="D4">
        <v>0.10578540446567503</v>
      </c>
      <c r="E4">
        <v>0.10020190968261022</v>
      </c>
      <c r="F4">
        <v>9.3072234751095759E-2</v>
      </c>
      <c r="G4">
        <v>8.2913128286902366E-2</v>
      </c>
      <c r="H4">
        <v>6.2441426200911469E-2</v>
      </c>
      <c r="I4">
        <v>1.7672827212167452E-2</v>
      </c>
      <c r="J4">
        <v>1.000106615518977E-2</v>
      </c>
      <c r="K4">
        <v>1.0000000022350219E-2</v>
      </c>
      <c r="L4">
        <v>1.000000000000047E-2</v>
      </c>
      <c r="M4">
        <v>0.01</v>
      </c>
      <c r="N4">
        <v>0.01</v>
      </c>
      <c r="O4">
        <v>0.01</v>
      </c>
      <c r="P4">
        <v>0.01</v>
      </c>
      <c r="Q4">
        <v>0.01</v>
      </c>
      <c r="R4">
        <v>0.01</v>
      </c>
      <c r="S4">
        <v>0.01</v>
      </c>
      <c r="T4">
        <v>0.01</v>
      </c>
      <c r="U4">
        <v>0.01</v>
      </c>
    </row>
    <row r="5" spans="1:21" x14ac:dyDescent="0.25">
      <c r="A5">
        <v>0.53333333333333333</v>
      </c>
      <c r="B5">
        <v>0.12756026931187417</v>
      </c>
      <c r="C5">
        <v>0.12526356510263162</v>
      </c>
      <c r="D5">
        <v>0.12279010542943691</v>
      </c>
      <c r="E5">
        <v>0.1201067389151889</v>
      </c>
      <c r="F5">
        <v>0.11716951299037745</v>
      </c>
      <c r="G5">
        <v>0.11391829447703203</v>
      </c>
      <c r="H5">
        <v>0.11026750289390896</v>
      </c>
      <c r="I5">
        <v>0.10608876219106002</v>
      </c>
      <c r="J5">
        <v>0.10117401064671684</v>
      </c>
      <c r="K5">
        <v>9.5157899415862904E-2</v>
      </c>
      <c r="L5">
        <v>8.7261697719354839E-2</v>
      </c>
      <c r="M5">
        <v>7.5197057150041727E-2</v>
      </c>
      <c r="N5">
        <v>4.1473342924758523E-2</v>
      </c>
      <c r="O5">
        <v>1.041665392400359E-2</v>
      </c>
      <c r="P5">
        <v>1.0000011261887235E-2</v>
      </c>
      <c r="Q5">
        <v>1.0000000000269273E-2</v>
      </c>
      <c r="R5">
        <v>1.0000000000000005E-2</v>
      </c>
      <c r="S5">
        <v>0.01</v>
      </c>
      <c r="T5">
        <v>0.01</v>
      </c>
      <c r="U5">
        <v>0.01</v>
      </c>
    </row>
    <row r="6" spans="1:21" x14ac:dyDescent="0.25">
      <c r="A6">
        <v>0.8</v>
      </c>
      <c r="B6">
        <v>0.13566936610596764</v>
      </c>
      <c r="C6">
        <v>0.13397956364211089</v>
      </c>
      <c r="D6">
        <v>0.1322021679959216</v>
      </c>
      <c r="E6">
        <v>0.13032649529164603</v>
      </c>
      <c r="F6">
        <v>0.12833968031285162</v>
      </c>
      <c r="G6">
        <v>0.12622602459649634</v>
      </c>
      <c r="H6">
        <v>0.12396607791064096</v>
      </c>
      <c r="I6">
        <v>0.12153530912204065</v>
      </c>
      <c r="J6">
        <v>0.11890212186104253</v>
      </c>
      <c r="K6">
        <v>0.11602477937380588</v>
      </c>
      <c r="L6">
        <v>0.11284641785136719</v>
      </c>
      <c r="M6">
        <v>0.10928649032916564</v>
      </c>
      <c r="N6">
        <v>0.10522498299406347</v>
      </c>
      <c r="O6">
        <v>0.10047034316999368</v>
      </c>
      <c r="P6">
        <v>9.4684802734054649E-2</v>
      </c>
      <c r="Q6">
        <v>8.717005571724655E-2</v>
      </c>
      <c r="R6">
        <v>7.5966535918175995E-2</v>
      </c>
      <c r="S6">
        <v>4.6810569296231869E-2</v>
      </c>
      <c r="T6">
        <v>1.1136312704202457E-2</v>
      </c>
      <c r="U6">
        <v>1.0000039609669784E-2</v>
      </c>
    </row>
    <row r="7" spans="1:21" x14ac:dyDescent="0.25">
      <c r="A7">
        <v>1.0666666666666667</v>
      </c>
      <c r="B7">
        <v>0.14329899537295793</v>
      </c>
      <c r="C7">
        <v>0.14203225298883029</v>
      </c>
      <c r="D7">
        <v>0.14074484078432217</v>
      </c>
      <c r="E7">
        <v>0.13943800638568032</v>
      </c>
      <c r="F7">
        <v>0.13811367234076011</v>
      </c>
      <c r="G7">
        <v>0.1367746234885121</v>
      </c>
      <c r="H7">
        <v>0.13542473547610198</v>
      </c>
      <c r="I7">
        <v>0.1340692436615519</v>
      </c>
      <c r="J7">
        <v>0.13271505778320117</v>
      </c>
      <c r="K7">
        <v>0.13137110794375492</v>
      </c>
      <c r="L7">
        <v>0.13004870525091675</v>
      </c>
      <c r="M7">
        <v>0.12876188473580097</v>
      </c>
      <c r="N7">
        <v>0.12752766142244526</v>
      </c>
      <c r="O7">
        <v>0.12636615465473056</v>
      </c>
      <c r="P7">
        <v>0.12530046669969946</v>
      </c>
      <c r="Q7">
        <v>0.12435616031957161</v>
      </c>
      <c r="R7">
        <v>0.12355976916383336</v>
      </c>
      <c r="S7">
        <v>0.12293697696127881</v>
      </c>
      <c r="T7">
        <v>0.12252150952195034</v>
      </c>
      <c r="U7">
        <v>0.12227855397645283</v>
      </c>
    </row>
    <row r="8" spans="1:21" x14ac:dyDescent="0.25">
      <c r="A8">
        <v>1.3333333333333333</v>
      </c>
      <c r="B8">
        <v>0.16595487915794796</v>
      </c>
      <c r="C8">
        <v>0.16535457408488982</v>
      </c>
      <c r="D8">
        <v>0.16477200999826572</v>
      </c>
      <c r="E8">
        <v>0.16420878737318778</v>
      </c>
      <c r="F8">
        <v>0.16366655516948578</v>
      </c>
      <c r="G8">
        <v>0.16314700523172884</v>
      </c>
      <c r="H8">
        <v>0.16265185286012054</v>
      </c>
      <c r="I8">
        <v>0.16218284508003725</v>
      </c>
      <c r="J8">
        <v>0.16174173080612977</v>
      </c>
      <c r="K8">
        <v>0.16133027059570665</v>
      </c>
      <c r="L8">
        <v>0.16095020025277909</v>
      </c>
      <c r="M8">
        <v>0.16060320477216772</v>
      </c>
      <c r="N8">
        <v>0.1602908472988413</v>
      </c>
      <c r="O8">
        <v>0.16001443267612545</v>
      </c>
      <c r="P8">
        <v>0.15977487715380315</v>
      </c>
      <c r="Q8">
        <v>0.15957285140135385</v>
      </c>
      <c r="R8">
        <v>0.15940929641762491</v>
      </c>
      <c r="S8">
        <v>0.1592867073860369</v>
      </c>
      <c r="T8">
        <v>0.15921307443070329</v>
      </c>
      <c r="U8">
        <v>0.15913595263987676</v>
      </c>
    </row>
    <row r="9" spans="1:21" x14ac:dyDescent="0.25">
      <c r="A9">
        <v>1.6</v>
      </c>
      <c r="B9">
        <v>0.19346281319170111</v>
      </c>
      <c r="C9">
        <v>0.19318589923402513</v>
      </c>
      <c r="D9">
        <v>0.19292100759331512</v>
      </c>
      <c r="E9">
        <v>0.19266850676272992</v>
      </c>
      <c r="F9">
        <v>0.19242875651215119</v>
      </c>
      <c r="G9">
        <v>0.19220210649320232</v>
      </c>
      <c r="H9">
        <v>0.1919888927060304</v>
      </c>
      <c r="I9">
        <v>0.19178944071156612</v>
      </c>
      <c r="J9">
        <v>0.19160406397104005</v>
      </c>
      <c r="K9">
        <v>0.19143307005600482</v>
      </c>
      <c r="L9">
        <v>0.19127675694896953</v>
      </c>
      <c r="M9">
        <v>0.19113540358446596</v>
      </c>
      <c r="N9">
        <v>0.19100924583370318</v>
      </c>
      <c r="O9">
        <v>0.19089841246988346</v>
      </c>
      <c r="P9">
        <v>0.19080288327592387</v>
      </c>
      <c r="Q9">
        <v>0.19072256412376973</v>
      </c>
      <c r="R9">
        <v>0.19065760139834581</v>
      </c>
      <c r="S9">
        <v>0.19060894668982289</v>
      </c>
      <c r="T9">
        <v>0.19057633394264617</v>
      </c>
      <c r="U9">
        <v>0.19055255527565201</v>
      </c>
    </row>
    <row r="10" spans="1:21" x14ac:dyDescent="0.25">
      <c r="A10">
        <v>1.8666666666666667</v>
      </c>
      <c r="B10">
        <v>0.22106146423582379</v>
      </c>
      <c r="C10">
        <v>0.22093008848743917</v>
      </c>
      <c r="D10">
        <v>0.22080559057335294</v>
      </c>
      <c r="E10">
        <v>0.220687996714482</v>
      </c>
      <c r="F10">
        <v>0.22057731871860595</v>
      </c>
      <c r="G10">
        <v>0.22047355970560503</v>
      </c>
      <c r="H10">
        <v>0.22037670990151376</v>
      </c>
      <c r="I10">
        <v>0.22028674684632454</v>
      </c>
      <c r="J10">
        <v>0.22020359427997857</v>
      </c>
      <c r="K10">
        <v>0.22012710029828558</v>
      </c>
      <c r="L10">
        <v>0.22005702230730545</v>
      </c>
      <c r="M10">
        <v>0.21999312325110115</v>
      </c>
      <c r="N10">
        <v>0.21993535661379199</v>
      </c>
      <c r="O10">
        <v>0.21988438902824586</v>
      </c>
      <c r="P10">
        <v>0.21984189840369961</v>
      </c>
      <c r="Q10">
        <v>0.21981009369738666</v>
      </c>
      <c r="R10">
        <v>0.21978908062351918</v>
      </c>
      <c r="S10">
        <v>0.21977303269563914</v>
      </c>
      <c r="T10">
        <v>0.21979199828274179</v>
      </c>
      <c r="U10">
        <v>0.21977451471241316</v>
      </c>
    </row>
    <row r="11" spans="1:21" x14ac:dyDescent="0.25">
      <c r="A11">
        <v>2.1333333333333333</v>
      </c>
      <c r="B11">
        <v>0.24569944466198373</v>
      </c>
      <c r="C11">
        <v>0.24563535775001988</v>
      </c>
      <c r="D11">
        <v>0.24557461973385794</v>
      </c>
      <c r="E11">
        <v>0.245517259661409</v>
      </c>
      <c r="F11">
        <v>0.24546330428441793</v>
      </c>
      <c r="G11">
        <v>0.24541277516437779</v>
      </c>
      <c r="H11">
        <v>0.24536569205011988</v>
      </c>
      <c r="I11">
        <v>0.24532206834886783</v>
      </c>
      <c r="J11">
        <v>0.24528192950774605</v>
      </c>
      <c r="K11">
        <v>0.24524531435328675</v>
      </c>
      <c r="L11">
        <v>0.2452122851948586</v>
      </c>
      <c r="M11">
        <v>0.24518289465547133</v>
      </c>
      <c r="N11">
        <v>0.24515713143056672</v>
      </c>
      <c r="O11">
        <v>0.24513476356669239</v>
      </c>
      <c r="P11">
        <v>0.24511526026239419</v>
      </c>
      <c r="Q11">
        <v>0.2450979232000928</v>
      </c>
      <c r="R11">
        <v>0.24508269648552394</v>
      </c>
      <c r="S11">
        <v>0.24507118631279012</v>
      </c>
      <c r="T11">
        <v>0.24505024167608735</v>
      </c>
      <c r="U11">
        <v>0.24506136555628139</v>
      </c>
    </row>
    <row r="12" spans="1:21" x14ac:dyDescent="0.25">
      <c r="A12">
        <v>2.4</v>
      </c>
      <c r="B12">
        <v>0.26417335432618577</v>
      </c>
      <c r="C12">
        <v>0.26414307787639002</v>
      </c>
      <c r="D12">
        <v>0.26411387987943091</v>
      </c>
      <c r="E12">
        <v>0.26408573836034605</v>
      </c>
      <c r="F12">
        <v>0.26405864089000031</v>
      </c>
      <c r="G12">
        <v>0.26403259361998305</v>
      </c>
      <c r="H12">
        <v>0.26400760793509331</v>
      </c>
      <c r="I12">
        <v>0.26398372596967584</v>
      </c>
      <c r="J12">
        <v>0.26396097166211224</v>
      </c>
      <c r="K12">
        <v>0.26393937215518615</v>
      </c>
      <c r="L12">
        <v>0.26391892540090528</v>
      </c>
      <c r="M12">
        <v>0.2638996628806568</v>
      </c>
      <c r="N12">
        <v>0.26388171774654545</v>
      </c>
      <c r="O12">
        <v>0.26386553190658324</v>
      </c>
      <c r="P12">
        <v>0.26385191412783637</v>
      </c>
      <c r="Q12">
        <v>0.26384191832446291</v>
      </c>
      <c r="R12">
        <v>0.2638357401185315</v>
      </c>
      <c r="S12">
        <v>0.263831828073819</v>
      </c>
      <c r="T12">
        <v>0.26386257771818616</v>
      </c>
      <c r="U12">
        <v>0.26380095454918945</v>
      </c>
    </row>
    <row r="13" spans="1:21" x14ac:dyDescent="0.25">
      <c r="A13">
        <v>2.6666666666666665</v>
      </c>
      <c r="B13">
        <v>0.27509159425810481</v>
      </c>
      <c r="C13">
        <v>0.27508165553323638</v>
      </c>
      <c r="D13">
        <v>0.27507248964023262</v>
      </c>
      <c r="E13">
        <v>0.27506406201232531</v>
      </c>
      <c r="F13">
        <v>0.27505633033710758</v>
      </c>
      <c r="G13">
        <v>0.27504925303471284</v>
      </c>
      <c r="H13">
        <v>0.27504278252848591</v>
      </c>
      <c r="I13">
        <v>0.27503686831017954</v>
      </c>
      <c r="J13">
        <v>0.2750314272525089</v>
      </c>
      <c r="K13">
        <v>0.27502632828658635</v>
      </c>
      <c r="L13">
        <v>0.2750213831288188</v>
      </c>
      <c r="M13">
        <v>0.27501641127174858</v>
      </c>
      <c r="N13">
        <v>0.27501136110942259</v>
      </c>
      <c r="O13">
        <v>0.27500667626511272</v>
      </c>
      <c r="P13">
        <v>0.27500349311866606</v>
      </c>
      <c r="Q13">
        <v>0.27500332779900732</v>
      </c>
      <c r="R13">
        <v>0.27500626921293575</v>
      </c>
      <c r="S13">
        <v>0.27500831153038835</v>
      </c>
      <c r="T13">
        <v>0.2750308483477788</v>
      </c>
      <c r="U13">
        <v>0.27502182808731379</v>
      </c>
    </row>
    <row r="14" spans="1:21" x14ac:dyDescent="0.25">
      <c r="A14">
        <v>2.9333333333333331</v>
      </c>
      <c r="B14">
        <v>0.28020259489006472</v>
      </c>
      <c r="C14">
        <v>0.28019754952492898</v>
      </c>
      <c r="D14">
        <v>0.28019297742046095</v>
      </c>
      <c r="E14">
        <v>0.28018888209865578</v>
      </c>
      <c r="F14">
        <v>0.28018525966475871</v>
      </c>
      <c r="G14">
        <v>0.28018210255673476</v>
      </c>
      <c r="H14">
        <v>0.28017939757125865</v>
      </c>
      <c r="I14">
        <v>0.28017712167754533</v>
      </c>
      <c r="J14">
        <v>0.28017524545169098</v>
      </c>
      <c r="K14">
        <v>0.28017372180612288</v>
      </c>
      <c r="L14">
        <v>0.28017249505511033</v>
      </c>
      <c r="M14">
        <v>0.28017150204817798</v>
      </c>
      <c r="N14">
        <v>0.28017068327766892</v>
      </c>
      <c r="O14">
        <v>0.28017004148224439</v>
      </c>
      <c r="P14">
        <v>0.28016967813747734</v>
      </c>
      <c r="Q14">
        <v>0.28016974058237104</v>
      </c>
      <c r="R14">
        <v>0.28017019580328761</v>
      </c>
      <c r="S14">
        <v>0.28017026354212787</v>
      </c>
      <c r="T14">
        <v>0.28016641846179641</v>
      </c>
      <c r="U14">
        <v>0.28018268219113379</v>
      </c>
    </row>
    <row r="15" spans="1:21" x14ac:dyDescent="0.25">
      <c r="A15">
        <v>3.2</v>
      </c>
      <c r="B15">
        <v>0.28200061007495175</v>
      </c>
      <c r="C15">
        <v>0.28199824817548924</v>
      </c>
      <c r="D15">
        <v>0.28199587157569123</v>
      </c>
      <c r="E15">
        <v>0.28199348741346725</v>
      </c>
      <c r="F15">
        <v>0.28199110401533056</v>
      </c>
      <c r="G15">
        <v>0.28198873553332765</v>
      </c>
      <c r="H15">
        <v>0.28198639653206303</v>
      </c>
      <c r="I15">
        <v>0.28198410847715283</v>
      </c>
      <c r="J15">
        <v>0.28198189889983238</v>
      </c>
      <c r="K15">
        <v>0.2819798088959426</v>
      </c>
      <c r="L15">
        <v>0.28197789520076716</v>
      </c>
      <c r="M15">
        <v>0.28197621965781577</v>
      </c>
      <c r="N15">
        <v>0.2819748121076649</v>
      </c>
      <c r="O15">
        <v>0.28197359929550508</v>
      </c>
      <c r="P15">
        <v>0.28197233719650217</v>
      </c>
      <c r="Q15">
        <v>0.28197070160469206</v>
      </c>
      <c r="R15">
        <v>0.28196869197123203</v>
      </c>
      <c r="S15">
        <v>0.28196732496011889</v>
      </c>
      <c r="T15">
        <v>0.28196426631764054</v>
      </c>
      <c r="U15">
        <v>0.28195904270078509</v>
      </c>
    </row>
    <row r="16" spans="1:21" x14ac:dyDescent="0.25">
      <c r="A16">
        <v>3.4666666666666668</v>
      </c>
      <c r="B16">
        <v>0.28259106571829901</v>
      </c>
      <c r="C16">
        <v>0.28259097052297172</v>
      </c>
      <c r="D16">
        <v>0.28259086478763323</v>
      </c>
      <c r="E16">
        <v>0.28259073892898223</v>
      </c>
      <c r="F16">
        <v>0.28259058281839483</v>
      </c>
      <c r="G16">
        <v>0.28259038986736507</v>
      </c>
      <c r="H16">
        <v>0.28259015297034229</v>
      </c>
      <c r="I16">
        <v>0.28258986906616573</v>
      </c>
      <c r="J16">
        <v>0.28258952972719081</v>
      </c>
      <c r="K16">
        <v>0.28258912188384366</v>
      </c>
      <c r="L16">
        <v>0.28258862456571726</v>
      </c>
      <c r="M16">
        <v>0.2825880228254235</v>
      </c>
      <c r="N16">
        <v>0.282587324406116</v>
      </c>
      <c r="O16">
        <v>0.28258662548524799</v>
      </c>
      <c r="P16">
        <v>0.28258613212975858</v>
      </c>
      <c r="Q16">
        <v>0.28258611936676598</v>
      </c>
      <c r="R16">
        <v>0.28258662061154971</v>
      </c>
      <c r="S16">
        <v>0.28258705496462305</v>
      </c>
      <c r="T16">
        <v>0.28259329129558619</v>
      </c>
      <c r="U16">
        <v>0.28258543430449162</v>
      </c>
    </row>
    <row r="17" spans="1:21" x14ac:dyDescent="0.25">
      <c r="A17">
        <v>3.7333333333333334</v>
      </c>
      <c r="B17">
        <v>0.28281385363994582</v>
      </c>
      <c r="C17">
        <v>0.28281382298527757</v>
      </c>
      <c r="D17">
        <v>0.28281387841244299</v>
      </c>
      <c r="E17">
        <v>0.28281401673045653</v>
      </c>
      <c r="F17">
        <v>0.28281423262108119</v>
      </c>
      <c r="G17">
        <v>0.28281451882801323</v>
      </c>
      <c r="H17">
        <v>0.28281486653253851</v>
      </c>
      <c r="I17">
        <v>0.28281526343361535</v>
      </c>
      <c r="J17">
        <v>0.28281569245936583</v>
      </c>
      <c r="K17">
        <v>0.28281612712170173</v>
      </c>
      <c r="L17">
        <v>0.28281653169020149</v>
      </c>
      <c r="M17">
        <v>0.28281686816682933</v>
      </c>
      <c r="N17">
        <v>0.2828171154380027</v>
      </c>
      <c r="O17">
        <v>0.28281732134251225</v>
      </c>
      <c r="P17">
        <v>0.28281763971406282</v>
      </c>
      <c r="Q17">
        <v>0.28281827892175282</v>
      </c>
      <c r="R17">
        <v>0.2828192406929928</v>
      </c>
      <c r="S17">
        <v>0.28281987422309207</v>
      </c>
      <c r="T17">
        <v>0.28282167737054537</v>
      </c>
      <c r="U17">
        <v>0.28282492301156981</v>
      </c>
    </row>
    <row r="18" spans="1:21" x14ac:dyDescent="0.25">
      <c r="A18">
        <v>4</v>
      </c>
      <c r="B18">
        <v>0.282943722918929</v>
      </c>
      <c r="C18">
        <v>0.28294366376885144</v>
      </c>
      <c r="D18">
        <v>0.28294363056958749</v>
      </c>
      <c r="E18">
        <v>0.28294362423490743</v>
      </c>
      <c r="F18">
        <v>0.28294364540069122</v>
      </c>
      <c r="G18">
        <v>0.28294369343429576</v>
      </c>
      <c r="H18">
        <v>0.28294376750886036</v>
      </c>
      <c r="I18">
        <v>0.28294386515530473</v>
      </c>
      <c r="J18">
        <v>0.28294398356310596</v>
      </c>
      <c r="K18">
        <v>0.28294411831632044</v>
      </c>
      <c r="L18">
        <v>0.28294426366023739</v>
      </c>
      <c r="M18">
        <v>0.28294441206883481</v>
      </c>
      <c r="N18">
        <v>0.28294455722413148</v>
      </c>
      <c r="O18">
        <v>0.28294469615947349</v>
      </c>
      <c r="P18">
        <v>0.28294483649767688</v>
      </c>
      <c r="Q18">
        <v>0.28294498880616686</v>
      </c>
      <c r="R18">
        <v>0.28294514806021476</v>
      </c>
      <c r="S18">
        <v>0.28294523770740965</v>
      </c>
      <c r="T18">
        <v>0.28294474288984578</v>
      </c>
      <c r="U18">
        <v>0.28294677438747556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Input</vt:lpstr>
      <vt:lpstr>Result</vt:lpstr>
      <vt:lpstr>RawResult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Alexey Cherkaev</dc:creator>
  <cp:lastModifiedBy>Alexey Cherkaev</cp:lastModifiedBy>
  <dcterms:created xsi:type="dcterms:W3CDTF">2017-11-01T10:01:13Z</dcterms:created>
  <dcterms:modified xsi:type="dcterms:W3CDTF">2017-11-02T13:15:48Z</dcterms:modified>
</cp:coreProperties>
</file>